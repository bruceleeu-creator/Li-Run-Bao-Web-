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预算表" sheetId="1" state="visible" r:id="rId1"/>
    <sheet xmlns:r="http://schemas.openxmlformats.org/officeDocument/2006/relationships" name="行业企业所得税贡献率参考" sheetId="2" state="visible" r:id="rId2"/>
    <sheet xmlns:r="http://schemas.openxmlformats.org/officeDocument/2006/relationships" name="诊断与行动清单" sheetId="3" state="visible" r:id="rId3"/>
  </sheets>
  <definedNames>
    <definedName name="_xlnm._FilterDatabase" localSheetId="0" hidden="1">'费用预算表'!$A$13:$J$98</definedName>
    <definedName name="_xlnm.Print_Titles" localSheetId="0">'费用预算表'!$1:$13</definedName>
    <definedName name="_xlnm.Print_Titles" localSheetId="1">'行业企业所得税贡献率参考'!$1:$2</definedName>
    <definedName name="_xlnm.Print_Titles" localSheetId="2">'诊断与行动清单'!$1:$2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E3A8A"/>
      <sz val="16"/>
    </font>
    <font>
      <sz val="10"/>
    </font>
    <font>
      <b val="1"/>
      <sz val="10"/>
    </font>
    <font>
      <color rgb="00555555"/>
      <sz val="10"/>
    </font>
    <font>
      <b val="1"/>
      <color rgb="00B91C1C"/>
      <sz val="10"/>
    </font>
    <font>
      <b val="1"/>
      <color rgb="001E3A8A"/>
      <sz val="12"/>
    </font>
    <font>
      <b val="1"/>
      <color rgb="00FFFFFF"/>
      <sz val="11"/>
    </font>
    <font>
      <b val="1"/>
      <sz val="11"/>
    </font>
    <font>
      <b val="1"/>
      <color rgb="00555555"/>
      <sz val="11"/>
    </font>
    <font>
      <b val="1"/>
      <color rgb="00B91C1C"/>
      <sz val="11"/>
    </font>
    <font>
      <i val="1"/>
      <color rgb="00B91C1C"/>
      <sz val="9"/>
    </font>
    <font>
      <i val="1"/>
      <color rgb="00555555"/>
      <sz val="9"/>
    </font>
    <font>
      <b val="1"/>
      <color rgb="001E3A8A"/>
      <sz val="14"/>
    </font>
    <font>
      <i val="1"/>
      <color rgb="00888888"/>
    </font>
  </fonts>
  <fills count="8">
    <fill>
      <patternFill/>
    </fill>
    <fill>
      <patternFill patternType="gray125"/>
    </fill>
    <fill>
      <patternFill patternType="solid">
        <fgColor rgb="00F0F9FF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1E40A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2" fillId="2" borderId="1" applyAlignment="1" pivotButton="0" quotePrefix="0" xfId="0">
      <alignment horizontal="right" vertical="center"/>
    </xf>
    <xf numFmtId="10" fontId="2" fillId="2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12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0" fillId="7" borderId="1" pivotButton="0" quotePrefix="0" xfId="0"/>
    <xf numFmtId="4" fontId="8" fillId="7" borderId="1" pivotButton="0" quotePrefix="0" xfId="0"/>
    <xf numFmtId="10" fontId="9" fillId="7" borderId="1" pivotButton="0" quotePrefix="0" xfId="0"/>
    <xf numFmtId="0" fontId="10" fillId="0" borderId="0" applyAlignment="1" pivotButton="0" quotePrefix="0" xfId="0">
      <alignment horizontal="right" vertical="center"/>
    </xf>
    <xf numFmtId="4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28" customHeight="1">
      <c r="A1" s="1" t="inlineStr">
        <is>
          <t>企业成本计划表</t>
        </is>
      </c>
    </row>
    <row r="2">
      <c r="A2" s="2" t="inlineStr">
        <is>
          <t>预算营业收入</t>
        </is>
      </c>
      <c r="C2" s="3" t="n">
        <v>12000000</v>
      </c>
      <c r="D2" s="2" t="inlineStr">
        <is>
          <t>行业所得税贡献率</t>
        </is>
      </c>
      <c r="E2" s="4" t="n">
        <v>0.003</v>
      </c>
    </row>
    <row r="3">
      <c r="A3" s="2" t="inlineStr">
        <is>
          <t>预算营业成本</t>
        </is>
      </c>
      <c r="C3" s="3" t="n">
        <v>7200000</v>
      </c>
      <c r="D3" s="2" t="inlineStr">
        <is>
          <t>企业预算所得税贡献率</t>
        </is>
      </c>
      <c r="E3" s="4" t="n">
        <v>0.003</v>
      </c>
    </row>
    <row r="4">
      <c r="A4" s="2" t="inlineStr">
        <is>
          <t>毛利</t>
        </is>
      </c>
      <c r="C4" s="5">
        <f>C2-C3</f>
        <v/>
      </c>
      <c r="D4" s="2" t="inlineStr">
        <is>
          <t>所得税税率</t>
        </is>
      </c>
      <c r="E4" s="4" t="n">
        <v>0.05</v>
      </c>
    </row>
    <row r="5">
      <c r="A5" s="2" t="inlineStr">
        <is>
          <t>毛利率</t>
        </is>
      </c>
      <c r="C5" s="6">
        <f>IF(C2=0,0,C4/C2)</f>
        <v/>
      </c>
      <c r="D5" s="2" t="inlineStr">
        <is>
          <t>企业应交所得税预算</t>
        </is>
      </c>
      <c r="E5" s="5">
        <f>E3*C2</f>
        <v/>
      </c>
    </row>
    <row r="6">
      <c r="A6" s="2" t="inlineStr">
        <is>
          <t>上年度同期营业收入</t>
        </is>
      </c>
      <c r="C6" s="3" t="n">
        <v>10500000</v>
      </c>
      <c r="D6" s="2" t="inlineStr">
        <is>
          <t>利润总额预算</t>
        </is>
      </c>
      <c r="E6" s="5">
        <f>IF(E4=0,0,E5/E4)</f>
        <v/>
      </c>
    </row>
    <row r="7">
      <c r="A7" s="2" t="inlineStr">
        <is>
          <t>收入增长率</t>
        </is>
      </c>
      <c r="C7" s="6">
        <f>IF(C6=0,0,(C2-C6)/C6)</f>
        <v/>
      </c>
      <c r="D7" s="2" t="inlineStr">
        <is>
          <t>预算费用上限</t>
        </is>
      </c>
      <c r="E7" s="7">
        <f>C4-E6</f>
        <v/>
      </c>
    </row>
    <row r="8">
      <c r="A8" s="2" t="inlineStr">
        <is>
          <t>上年度同期营业成本</t>
        </is>
      </c>
      <c r="C8" s="3" t="n">
        <v>6300000</v>
      </c>
      <c r="D8" s="2" t="inlineStr">
        <is>
          <t>实际已发生费用</t>
        </is>
      </c>
      <c r="E8" s="5">
        <f>I98</f>
        <v/>
      </c>
    </row>
    <row r="9">
      <c r="A9" s="2" t="inlineStr">
        <is>
          <t>上年度毛利率</t>
        </is>
      </c>
      <c r="C9" s="6">
        <f>IF(C6=0,0,(C6-C8)/C6)</f>
        <v/>
      </c>
      <c r="D9" s="2" t="inlineStr">
        <is>
          <t>费用差额</t>
        </is>
      </c>
      <c r="E9" s="8">
        <f>E7-E8</f>
        <v/>
      </c>
    </row>
    <row r="11">
      <c r="A11" s="9" t="inlineStr">
        <is>
          <t>说明：D/G/I 为输入列（蓝色底）；E/F/H/J 为公式列（灰色底，自动计算）；红色为重点字段；黄色为差额/剩余额度。</t>
        </is>
      </c>
    </row>
    <row r="12">
      <c r="A12" s="10" t="inlineStr">
        <is>
          <t>公司年度费用计划表</t>
        </is>
      </c>
    </row>
    <row r="13" ht="32" customHeight="1">
      <c r="A13" s="11" t="inlineStr">
        <is>
          <t>科目名称</t>
        </is>
      </c>
      <c r="B13" s="11" t="inlineStr">
        <is>
          <t>费用名称</t>
        </is>
      </c>
      <c r="C13" s="11" t="inlineStr">
        <is>
          <t>发票名称</t>
        </is>
      </c>
      <c r="D13" s="11" t="inlineStr">
        <is>
          <t>上年同期实际费用</t>
        </is>
      </c>
      <c r="E13" s="11" t="inlineStr">
        <is>
          <t>上年费用占上年收入比例</t>
        </is>
      </c>
      <c r="F13" s="11" t="inlineStr">
        <is>
          <t>参考费用金额</t>
        </is>
      </c>
      <c r="G13" s="11" t="inlineStr">
        <is>
          <t>预算费用金额</t>
        </is>
      </c>
      <c r="H13" s="11" t="inlineStr">
        <is>
          <t>预算费用占预算收入比例</t>
        </is>
      </c>
      <c r="I13" s="11" t="inlineStr">
        <is>
          <t>实际已发生费用金额</t>
        </is>
      </c>
      <c r="J13" s="11" t="inlineStr">
        <is>
          <t>差额</t>
        </is>
      </c>
    </row>
    <row r="14">
      <c r="A14" s="12" t="inlineStr">
        <is>
          <t>销售费用</t>
        </is>
      </c>
      <c r="B14" s="12" t="inlineStr">
        <is>
          <t>广宣费</t>
        </is>
      </c>
      <c r="C14" s="12" t="inlineStr">
        <is>
          <t>策划服务</t>
        </is>
      </c>
      <c r="D14" s="3" t="n">
        <v>200000</v>
      </c>
      <c r="E14" s="6">
        <f>IF($C$6=0,0,D14/$C$6)</f>
        <v/>
      </c>
      <c r="F14" s="5">
        <f>D14*(1+$C$7)</f>
        <v/>
      </c>
      <c r="G14" s="13" t="n">
        <v>200000</v>
      </c>
      <c r="H14" s="6">
        <f>IF($C$2=0,0,G14/$C$2)</f>
        <v/>
      </c>
      <c r="I14" s="3" t="n">
        <v>120000</v>
      </c>
      <c r="J14" s="8">
        <f>G14-I14</f>
        <v/>
      </c>
    </row>
    <row r="15">
      <c r="A15" s="12" t="inlineStr">
        <is>
          <t>销售费用</t>
        </is>
      </c>
      <c r="B15" s="12" t="inlineStr">
        <is>
          <t>广宣费</t>
        </is>
      </c>
      <c r="C15" s="12" t="inlineStr">
        <is>
          <t>推广服务</t>
        </is>
      </c>
      <c r="D15" s="3" t="n">
        <v>150000</v>
      </c>
      <c r="E15" s="6">
        <f>IF($C$6=0,0,D15/$C$6)</f>
        <v/>
      </c>
      <c r="F15" s="5">
        <f>D15*(1+$C$7)</f>
        <v/>
      </c>
      <c r="G15" s="13" t="n">
        <v>150000</v>
      </c>
      <c r="H15" s="6">
        <f>IF($C$2=0,0,G15/$C$2)</f>
        <v/>
      </c>
      <c r="I15" s="3" t="n">
        <v>127500</v>
      </c>
      <c r="J15" s="8">
        <f>G15-I15</f>
        <v/>
      </c>
    </row>
    <row r="16">
      <c r="A16" s="12" t="inlineStr">
        <is>
          <t>销售费用</t>
        </is>
      </c>
      <c r="B16" s="12" t="inlineStr">
        <is>
          <t>广宣费</t>
        </is>
      </c>
      <c r="C16" s="12" t="inlineStr">
        <is>
          <t>视频剪辑</t>
        </is>
      </c>
      <c r="D16" s="3" t="n">
        <v>100000</v>
      </c>
      <c r="E16" s="6">
        <f>IF($C$6=0,0,D16/$C$6)</f>
        <v/>
      </c>
      <c r="F16" s="5">
        <f>D16*(1+$C$7)</f>
        <v/>
      </c>
      <c r="G16" s="13" t="n">
        <v>100000</v>
      </c>
      <c r="H16" s="6">
        <f>IF($C$2=0,0,G16/$C$2)</f>
        <v/>
      </c>
      <c r="I16" s="3" t="n">
        <v>130000</v>
      </c>
      <c r="J16" s="8">
        <f>G16-I16</f>
        <v/>
      </c>
    </row>
    <row r="17">
      <c r="A17" s="12" t="inlineStr">
        <is>
          <t>销售费用</t>
        </is>
      </c>
      <c r="B17" s="12" t="inlineStr">
        <is>
          <t>广宣费</t>
        </is>
      </c>
      <c r="C17" s="12" t="inlineStr">
        <is>
          <t>项目推广服务</t>
        </is>
      </c>
      <c r="D17" s="3" t="n">
        <v>80000</v>
      </c>
      <c r="E17" s="6">
        <f>IF($C$6=0,0,D17/$C$6)</f>
        <v/>
      </c>
      <c r="F17" s="5">
        <f>D17*(1+$C$7)</f>
        <v/>
      </c>
      <c r="G17" s="13" t="n">
        <v>80000</v>
      </c>
      <c r="H17" s="6">
        <f>IF($C$2=0,0,G17/$C$2)</f>
        <v/>
      </c>
      <c r="I17" s="3" t="n">
        <v>120000</v>
      </c>
      <c r="J17" s="8">
        <f>G17-I17</f>
        <v/>
      </c>
    </row>
    <row r="18">
      <c r="A18" s="12" t="inlineStr">
        <is>
          <t>销售费用</t>
        </is>
      </c>
      <c r="B18" s="12" t="inlineStr">
        <is>
          <t>广宣费</t>
        </is>
      </c>
      <c r="C18" s="12" t="inlineStr">
        <is>
          <t>项目宣传</t>
        </is>
      </c>
      <c r="D18" s="3" t="n">
        <v>0</v>
      </c>
      <c r="E18" s="6">
        <f>IF($C$6=0,0,D18/$C$6)</f>
        <v/>
      </c>
      <c r="F18" s="5">
        <f>D18*(1+$C$7)</f>
        <v/>
      </c>
      <c r="G18" s="13" t="n">
        <v>0</v>
      </c>
      <c r="H18" s="6">
        <f>IF($C$2=0,0,G18/$C$2)</f>
        <v/>
      </c>
      <c r="I18" s="3" t="n">
        <v>0</v>
      </c>
      <c r="J18" s="8">
        <f>G18-I18</f>
        <v/>
      </c>
    </row>
    <row r="19">
      <c r="A19" s="12" t="inlineStr">
        <is>
          <t>销售费用</t>
        </is>
      </c>
      <c r="B19" s="12" t="inlineStr">
        <is>
          <t>广宣费</t>
        </is>
      </c>
      <c r="C19" s="12" t="inlineStr">
        <is>
          <t>广告设计</t>
        </is>
      </c>
      <c r="D19" s="3" t="n">
        <v>0</v>
      </c>
      <c r="E19" s="6">
        <f>IF($C$6=0,0,D19/$C$6)</f>
        <v/>
      </c>
      <c r="F19" s="5">
        <f>D19*(1+$C$7)</f>
        <v/>
      </c>
      <c r="G19" s="13" t="n">
        <v>0</v>
      </c>
      <c r="H19" s="6">
        <f>IF($C$2=0,0,G19/$C$2)</f>
        <v/>
      </c>
      <c r="I19" s="3" t="n">
        <v>0</v>
      </c>
      <c r="J19" s="8">
        <f>G19-I19</f>
        <v/>
      </c>
    </row>
    <row r="20">
      <c r="A20" s="12" t="inlineStr">
        <is>
          <t>销售费用</t>
        </is>
      </c>
      <c r="B20" s="12" t="inlineStr">
        <is>
          <t>广宣费</t>
        </is>
      </c>
      <c r="C20" s="12" t="inlineStr">
        <is>
          <t>广告印刷/制作</t>
        </is>
      </c>
      <c r="D20" s="3" t="n">
        <v>0</v>
      </c>
      <c r="E20" s="6">
        <f>IF($C$6=0,0,D20/$C$6)</f>
        <v/>
      </c>
      <c r="F20" s="5">
        <f>D20*(1+$C$7)</f>
        <v/>
      </c>
      <c r="G20" s="13" t="n">
        <v>0</v>
      </c>
      <c r="H20" s="6">
        <f>IF($C$2=0,0,G20/$C$2)</f>
        <v/>
      </c>
      <c r="I20" s="3" t="n">
        <v>0</v>
      </c>
      <c r="J20" s="8">
        <f>G20-I20</f>
        <v/>
      </c>
    </row>
    <row r="21">
      <c r="A21" s="12" t="inlineStr">
        <is>
          <t>销售费用</t>
        </is>
      </c>
      <c r="B21" s="12" t="inlineStr">
        <is>
          <t>运输费</t>
        </is>
      </c>
      <c r="C21" s="12" t="inlineStr">
        <is>
          <t>运输费/快递物流</t>
        </is>
      </c>
      <c r="D21" s="3" t="n">
        <v>0</v>
      </c>
      <c r="E21" s="6">
        <f>IF($C$6=0,0,D21/$C$6)</f>
        <v/>
      </c>
      <c r="F21" s="5">
        <f>D21*(1+$C$7)</f>
        <v/>
      </c>
      <c r="G21" s="13" t="n">
        <v>0</v>
      </c>
      <c r="H21" s="6">
        <f>IF($C$2=0,0,G21/$C$2)</f>
        <v/>
      </c>
      <c r="I21" s="3" t="n">
        <v>0</v>
      </c>
      <c r="J21" s="8">
        <f>G21-I21</f>
        <v/>
      </c>
    </row>
    <row r="22">
      <c r="A22" s="12" t="inlineStr">
        <is>
          <t>销售费用</t>
        </is>
      </c>
      <c r="B22" s="12" t="inlineStr">
        <is>
          <t>装卸费</t>
        </is>
      </c>
      <c r="C22" s="12" t="inlineStr">
        <is>
          <t>装卸费</t>
        </is>
      </c>
      <c r="D22" s="3" t="n">
        <v>0</v>
      </c>
      <c r="E22" s="6">
        <f>IF($C$6=0,0,D22/$C$6)</f>
        <v/>
      </c>
      <c r="F22" s="5">
        <f>D22*(1+$C$7)</f>
        <v/>
      </c>
      <c r="G22" s="13" t="n">
        <v>0</v>
      </c>
      <c r="H22" s="6">
        <f>IF($C$2=0,0,G22/$C$2)</f>
        <v/>
      </c>
      <c r="I22" s="3" t="n">
        <v>0</v>
      </c>
      <c r="J22" s="8">
        <f>G22-I22</f>
        <v/>
      </c>
    </row>
    <row r="23">
      <c r="A23" s="12" t="inlineStr">
        <is>
          <t>销售费用</t>
        </is>
      </c>
      <c r="B23" s="12" t="inlineStr">
        <is>
          <t>包装费</t>
        </is>
      </c>
      <c r="C23" s="12" t="inlineStr">
        <is>
          <t>包装费</t>
        </is>
      </c>
      <c r="D23" s="3" t="n">
        <v>0</v>
      </c>
      <c r="E23" s="6">
        <f>IF($C$6=0,0,D23/$C$6)</f>
        <v/>
      </c>
      <c r="F23" s="5">
        <f>D23*(1+$C$7)</f>
        <v/>
      </c>
      <c r="G23" s="13" t="n">
        <v>0</v>
      </c>
      <c r="H23" s="6">
        <f>IF($C$2=0,0,G23/$C$2)</f>
        <v/>
      </c>
      <c r="I23" s="3" t="n">
        <v>0</v>
      </c>
      <c r="J23" s="8">
        <f>G23-I23</f>
        <v/>
      </c>
    </row>
    <row r="24">
      <c r="A24" s="12" t="inlineStr">
        <is>
          <t>销售费用</t>
        </is>
      </c>
      <c r="B24" s="12" t="inlineStr">
        <is>
          <t>仓储费</t>
        </is>
      </c>
      <c r="C24" s="12" t="inlineStr">
        <is>
          <t>仓储费</t>
        </is>
      </c>
      <c r="D24" s="3" t="n">
        <v>0</v>
      </c>
      <c r="E24" s="6">
        <f>IF($C$6=0,0,D24/$C$6)</f>
        <v/>
      </c>
      <c r="F24" s="5">
        <f>D24*(1+$C$7)</f>
        <v/>
      </c>
      <c r="G24" s="13" t="n">
        <v>0</v>
      </c>
      <c r="H24" s="6">
        <f>IF($C$2=0,0,G24/$C$2)</f>
        <v/>
      </c>
      <c r="I24" s="3" t="n">
        <v>0</v>
      </c>
      <c r="J24" s="8">
        <f>G24-I24</f>
        <v/>
      </c>
    </row>
    <row r="25">
      <c r="A25" s="12" t="inlineStr">
        <is>
          <t>销售费用</t>
        </is>
      </c>
      <c r="B25" s="12" t="inlineStr">
        <is>
          <t>销售人员提成及佣金</t>
        </is>
      </c>
      <c r="C25" s="12" t="inlineStr">
        <is>
          <t>销售服务费</t>
        </is>
      </c>
      <c r="D25" s="3" t="n">
        <v>0</v>
      </c>
      <c r="E25" s="6">
        <f>IF($C$6=0,0,D25/$C$6)</f>
        <v/>
      </c>
      <c r="F25" s="5">
        <f>D25*(1+$C$7)</f>
        <v/>
      </c>
      <c r="G25" s="13" t="n">
        <v>0</v>
      </c>
      <c r="H25" s="6">
        <f>IF($C$2=0,0,G25/$C$2)</f>
        <v/>
      </c>
      <c r="I25" s="3" t="n">
        <v>0</v>
      </c>
      <c r="J25" s="8">
        <f>G25-I25</f>
        <v/>
      </c>
    </row>
    <row r="26">
      <c r="A26" s="12" t="inlineStr">
        <is>
          <t>销售费用</t>
        </is>
      </c>
      <c r="B26" s="12" t="inlineStr">
        <is>
          <t>市场推广费</t>
        </is>
      </c>
      <c r="C26" s="12" t="inlineStr">
        <is>
          <t>市场调研</t>
        </is>
      </c>
      <c r="D26" s="3" t="n">
        <v>0</v>
      </c>
      <c r="E26" s="6">
        <f>IF($C$6=0,0,D26/$C$6)</f>
        <v/>
      </c>
      <c r="F26" s="5">
        <f>D26*(1+$C$7)</f>
        <v/>
      </c>
      <c r="G26" s="13" t="n">
        <v>0</v>
      </c>
      <c r="H26" s="6">
        <f>IF($C$2=0,0,G26/$C$2)</f>
        <v/>
      </c>
      <c r="I26" s="3" t="n">
        <v>0</v>
      </c>
      <c r="J26" s="8">
        <f>G26-I26</f>
        <v/>
      </c>
    </row>
    <row r="27">
      <c r="A27" s="12" t="inlineStr">
        <is>
          <t>销售费用</t>
        </is>
      </c>
      <c r="B27" s="12" t="inlineStr">
        <is>
          <t>市场推广费</t>
        </is>
      </c>
      <c r="C27" s="12" t="inlineStr">
        <is>
          <t>展会参展</t>
        </is>
      </c>
      <c r="D27" s="3" t="n">
        <v>0</v>
      </c>
      <c r="E27" s="6">
        <f>IF($C$6=0,0,D27/$C$6)</f>
        <v/>
      </c>
      <c r="F27" s="5">
        <f>D27*(1+$C$7)</f>
        <v/>
      </c>
      <c r="G27" s="13" t="n">
        <v>0</v>
      </c>
      <c r="H27" s="6">
        <f>IF($C$2=0,0,G27/$C$2)</f>
        <v/>
      </c>
      <c r="I27" s="3" t="n">
        <v>0</v>
      </c>
      <c r="J27" s="8">
        <f>G27-I27</f>
        <v/>
      </c>
    </row>
    <row r="28">
      <c r="A28" s="12" t="inlineStr">
        <is>
          <t>销售费用</t>
        </is>
      </c>
      <c r="B28" s="12" t="inlineStr">
        <is>
          <t>市场推广费</t>
        </is>
      </c>
      <c r="C28" s="12" t="inlineStr">
        <is>
          <t>招商会</t>
        </is>
      </c>
      <c r="D28" s="3" t="n">
        <v>0</v>
      </c>
      <c r="E28" s="6">
        <f>IF($C$6=0,0,D28/$C$6)</f>
        <v/>
      </c>
      <c r="F28" s="5">
        <f>D28*(1+$C$7)</f>
        <v/>
      </c>
      <c r="G28" s="13" t="n">
        <v>0</v>
      </c>
      <c r="H28" s="6">
        <f>IF($C$2=0,0,G28/$C$2)</f>
        <v/>
      </c>
      <c r="I28" s="3" t="n">
        <v>0</v>
      </c>
      <c r="J28" s="8">
        <f>G28-I28</f>
        <v/>
      </c>
    </row>
    <row r="29">
      <c r="A29" s="12" t="inlineStr">
        <is>
          <t>销售费用</t>
        </is>
      </c>
      <c r="B29" s="12" t="inlineStr">
        <is>
          <t>保险费（运保费）</t>
        </is>
      </c>
      <c r="C29" s="12" t="inlineStr">
        <is>
          <t>保险费</t>
        </is>
      </c>
      <c r="D29" s="3" t="n">
        <v>0</v>
      </c>
      <c r="E29" s="6">
        <f>IF($C$6=0,0,D29/$C$6)</f>
        <v/>
      </c>
      <c r="F29" s="5">
        <f>D29*(1+$C$7)</f>
        <v/>
      </c>
      <c r="G29" s="13" t="n">
        <v>0</v>
      </c>
      <c r="H29" s="6">
        <f>IF($C$2=0,0,G29/$C$2)</f>
        <v/>
      </c>
      <c r="I29" s="3" t="n">
        <v>0</v>
      </c>
      <c r="J29" s="8">
        <f>G29-I29</f>
        <v/>
      </c>
    </row>
    <row r="30">
      <c r="A30" s="12" t="inlineStr">
        <is>
          <t>销售费用</t>
        </is>
      </c>
      <c r="B30" s="12" t="inlineStr">
        <is>
          <t>技术服务费</t>
        </is>
      </c>
      <c r="C30" s="12" t="inlineStr">
        <is>
          <t>技术服务费</t>
        </is>
      </c>
      <c r="D30" s="3" t="n">
        <v>0</v>
      </c>
      <c r="E30" s="6">
        <f>IF($C$6=0,0,D30/$C$6)</f>
        <v/>
      </c>
      <c r="F30" s="5">
        <f>D30*(1+$C$7)</f>
        <v/>
      </c>
      <c r="G30" s="13" t="n">
        <v>0</v>
      </c>
      <c r="H30" s="6">
        <f>IF($C$2=0,0,G30/$C$2)</f>
        <v/>
      </c>
      <c r="I30" s="3" t="n">
        <v>0</v>
      </c>
      <c r="J30" s="8">
        <f>G30-I30</f>
        <v/>
      </c>
    </row>
    <row r="31">
      <c r="A31" s="12" t="inlineStr">
        <is>
          <t>销售费用</t>
        </is>
      </c>
      <c r="B31" s="12" t="inlineStr">
        <is>
          <t>会务费</t>
        </is>
      </c>
      <c r="C31" s="12" t="inlineStr">
        <is>
          <t>会务费</t>
        </is>
      </c>
      <c r="D31" s="3" t="n">
        <v>0</v>
      </c>
      <c r="E31" s="6">
        <f>IF($C$6=0,0,D31/$C$6)</f>
        <v/>
      </c>
      <c r="F31" s="5">
        <f>D31*(1+$C$7)</f>
        <v/>
      </c>
      <c r="G31" s="13" t="n">
        <v>0</v>
      </c>
      <c r="H31" s="6">
        <f>IF($C$2=0,0,G31/$C$2)</f>
        <v/>
      </c>
      <c r="I31" s="3" t="n">
        <v>0</v>
      </c>
      <c r="J31" s="8">
        <f>G31-I31</f>
        <v/>
      </c>
    </row>
    <row r="32">
      <c r="A32" s="12" t="inlineStr">
        <is>
          <t>管理费用</t>
        </is>
      </c>
      <c r="B32" s="12" t="inlineStr">
        <is>
          <t>职工薪酬</t>
        </is>
      </c>
      <c r="C32" s="12" t="inlineStr">
        <is>
          <t>工资、提成</t>
        </is>
      </c>
      <c r="D32" s="3" t="n">
        <v>0</v>
      </c>
      <c r="E32" s="6">
        <f>IF($C$6=0,0,D32/$C$6)</f>
        <v/>
      </c>
      <c r="F32" s="5">
        <f>D32*(1+$C$7)</f>
        <v/>
      </c>
      <c r="G32" s="13" t="n">
        <v>0</v>
      </c>
      <c r="H32" s="6">
        <f>IF($C$2=0,0,G32/$C$2)</f>
        <v/>
      </c>
      <c r="I32" s="3" t="n">
        <v>0</v>
      </c>
      <c r="J32" s="8">
        <f>G32-I32</f>
        <v/>
      </c>
    </row>
    <row r="33">
      <c r="A33" s="12" t="inlineStr">
        <is>
          <t>管理费用</t>
        </is>
      </c>
      <c r="B33" s="12" t="inlineStr">
        <is>
          <t>职工薪酬</t>
        </is>
      </c>
      <c r="C33" s="12" t="inlineStr">
        <is>
          <t>奖金</t>
        </is>
      </c>
      <c r="D33" s="3" t="n">
        <v>0</v>
      </c>
      <c r="E33" s="6">
        <f>IF($C$6=0,0,D33/$C$6)</f>
        <v/>
      </c>
      <c r="F33" s="5">
        <f>D33*(1+$C$7)</f>
        <v/>
      </c>
      <c r="G33" s="13" t="n">
        <v>0</v>
      </c>
      <c r="H33" s="6">
        <f>IF($C$2=0,0,G33/$C$2)</f>
        <v/>
      </c>
      <c r="I33" s="3" t="n">
        <v>0</v>
      </c>
      <c r="J33" s="8">
        <f>G33-I33</f>
        <v/>
      </c>
    </row>
    <row r="34">
      <c r="A34" s="12" t="inlineStr">
        <is>
          <t>管理费用</t>
        </is>
      </c>
      <c r="B34" s="12" t="inlineStr">
        <is>
          <t>职工薪酬</t>
        </is>
      </c>
      <c r="C34" s="12" t="inlineStr">
        <is>
          <t>社保</t>
        </is>
      </c>
      <c r="D34" s="3" t="n">
        <v>0</v>
      </c>
      <c r="E34" s="6">
        <f>IF($C$6=0,0,D34/$C$6)</f>
        <v/>
      </c>
      <c r="F34" s="5">
        <f>D34*(1+$C$7)</f>
        <v/>
      </c>
      <c r="G34" s="13" t="n">
        <v>0</v>
      </c>
      <c r="H34" s="6">
        <f>IF($C$2=0,0,G34/$C$2)</f>
        <v/>
      </c>
      <c r="I34" s="3" t="n">
        <v>0</v>
      </c>
      <c r="J34" s="8">
        <f>G34-I34</f>
        <v/>
      </c>
    </row>
    <row r="35">
      <c r="A35" s="12" t="inlineStr">
        <is>
          <t>管理费用</t>
        </is>
      </c>
      <c r="B35" s="12" t="inlineStr">
        <is>
          <t>职工薪酬</t>
        </is>
      </c>
      <c r="C35" s="12" t="inlineStr">
        <is>
          <t>公积金</t>
        </is>
      </c>
      <c r="D35" s="3" t="n">
        <v>0</v>
      </c>
      <c r="E35" s="6">
        <f>IF($C$6=0,0,D35/$C$6)</f>
        <v/>
      </c>
      <c r="F35" s="5">
        <f>D35*(1+$C$7)</f>
        <v/>
      </c>
      <c r="G35" s="13" t="n">
        <v>0</v>
      </c>
      <c r="H35" s="6">
        <f>IF($C$2=0,0,G35/$C$2)</f>
        <v/>
      </c>
      <c r="I35" s="3" t="n">
        <v>0</v>
      </c>
      <c r="J35" s="8">
        <f>G35-I35</f>
        <v/>
      </c>
    </row>
    <row r="36">
      <c r="A36" s="12" t="inlineStr">
        <is>
          <t>管理费用</t>
        </is>
      </c>
      <c r="B36" s="12" t="inlineStr">
        <is>
          <t>职工福利费</t>
        </is>
      </c>
      <c r="C36" s="12" t="inlineStr">
        <is>
          <t>住宿</t>
        </is>
      </c>
      <c r="D36" s="3" t="n">
        <v>0</v>
      </c>
      <c r="E36" s="6">
        <f>IF($C$6=0,0,D36/$C$6)</f>
        <v/>
      </c>
      <c r="F36" s="5">
        <f>D36*(1+$C$7)</f>
        <v/>
      </c>
      <c r="G36" s="13" t="n">
        <v>0</v>
      </c>
      <c r="H36" s="6">
        <f>IF($C$2=0,0,G36/$C$2)</f>
        <v/>
      </c>
      <c r="I36" s="3" t="n">
        <v>0</v>
      </c>
      <c r="J36" s="8">
        <f>G36-I36</f>
        <v/>
      </c>
    </row>
    <row r="37">
      <c r="A37" s="12" t="inlineStr">
        <is>
          <t>管理费用</t>
        </is>
      </c>
      <c r="B37" s="12" t="inlineStr">
        <is>
          <t>职工福利费</t>
        </is>
      </c>
      <c r="C37" s="12" t="inlineStr">
        <is>
          <t>餐费</t>
        </is>
      </c>
      <c r="D37" s="3" t="n">
        <v>0</v>
      </c>
      <c r="E37" s="6">
        <f>IF($C$6=0,0,D37/$C$6)</f>
        <v/>
      </c>
      <c r="F37" s="5">
        <f>D37*(1+$C$7)</f>
        <v/>
      </c>
      <c r="G37" s="13" t="n">
        <v>0</v>
      </c>
      <c r="H37" s="6">
        <f>IF($C$2=0,0,G37/$C$2)</f>
        <v/>
      </c>
      <c r="I37" s="3" t="n">
        <v>0</v>
      </c>
      <c r="J37" s="8">
        <f>G37-I37</f>
        <v/>
      </c>
    </row>
    <row r="38">
      <c r="A38" s="12" t="inlineStr">
        <is>
          <t>管理费用</t>
        </is>
      </c>
      <c r="B38" s="12" t="inlineStr">
        <is>
          <t>职工福利费</t>
        </is>
      </c>
      <c r="C38" s="12" t="inlineStr">
        <is>
          <t>交通</t>
        </is>
      </c>
      <c r="D38" s="3" t="n">
        <v>0</v>
      </c>
      <c r="E38" s="6">
        <f>IF($C$6=0,0,D38/$C$6)</f>
        <v/>
      </c>
      <c r="F38" s="5">
        <f>D38*(1+$C$7)</f>
        <v/>
      </c>
      <c r="G38" s="13" t="n">
        <v>0</v>
      </c>
      <c r="H38" s="6">
        <f>IF($C$2=0,0,G38/$C$2)</f>
        <v/>
      </c>
      <c r="I38" s="3" t="n">
        <v>0</v>
      </c>
      <c r="J38" s="8">
        <f>G38-I38</f>
        <v/>
      </c>
    </row>
    <row r="39">
      <c r="A39" s="12" t="inlineStr">
        <is>
          <t>管理费用</t>
        </is>
      </c>
      <c r="B39" s="12" t="inlineStr">
        <is>
          <t>职工福利费</t>
        </is>
      </c>
      <c r="C39" s="12" t="inlineStr">
        <is>
          <t>职工礼品</t>
        </is>
      </c>
      <c r="D39" s="3" t="n">
        <v>0</v>
      </c>
      <c r="E39" s="6">
        <f>IF($C$6=0,0,D39/$C$6)</f>
        <v/>
      </c>
      <c r="F39" s="5">
        <f>D39*(1+$C$7)</f>
        <v/>
      </c>
      <c r="G39" s="13" t="n">
        <v>0</v>
      </c>
      <c r="H39" s="6">
        <f>IF($C$2=0,0,G39/$C$2)</f>
        <v/>
      </c>
      <c r="I39" s="3" t="n">
        <v>0</v>
      </c>
      <c r="J39" s="8">
        <f>G39-I39</f>
        <v/>
      </c>
    </row>
    <row r="40">
      <c r="A40" s="12" t="inlineStr">
        <is>
          <t>管理费用</t>
        </is>
      </c>
      <c r="B40" s="12" t="inlineStr">
        <is>
          <t>职工福利费</t>
        </is>
      </c>
      <c r="C40" s="12" t="inlineStr">
        <is>
          <t>团队意外伤害保险</t>
        </is>
      </c>
      <c r="D40" s="3" t="n">
        <v>0</v>
      </c>
      <c r="E40" s="6">
        <f>IF($C$6=0,0,D40/$C$6)</f>
        <v/>
      </c>
      <c r="F40" s="5">
        <f>D40*(1+$C$7)</f>
        <v/>
      </c>
      <c r="G40" s="13" t="n">
        <v>0</v>
      </c>
      <c r="H40" s="6">
        <f>IF($C$2=0,0,G40/$C$2)</f>
        <v/>
      </c>
      <c r="I40" s="3" t="n">
        <v>0</v>
      </c>
      <c r="J40" s="8">
        <f>G40-I40</f>
        <v/>
      </c>
    </row>
    <row r="41">
      <c r="A41" s="12" t="inlineStr">
        <is>
          <t>管理费用</t>
        </is>
      </c>
      <c r="B41" s="12" t="inlineStr">
        <is>
          <t>职工福利费</t>
        </is>
      </c>
      <c r="C41" s="12" t="inlineStr">
        <is>
          <t>职工医药补助</t>
        </is>
      </c>
      <c r="D41" s="3" t="n">
        <v>0</v>
      </c>
      <c r="E41" s="6">
        <f>IF($C$6=0,0,D41/$C$6)</f>
        <v/>
      </c>
      <c r="F41" s="5">
        <f>D41*(1+$C$7)</f>
        <v/>
      </c>
      <c r="G41" s="13" t="n">
        <v>0</v>
      </c>
      <c r="H41" s="6">
        <f>IF($C$2=0,0,G41/$C$2)</f>
        <v/>
      </c>
      <c r="I41" s="3" t="n">
        <v>0</v>
      </c>
      <c r="J41" s="8">
        <f>G41-I41</f>
        <v/>
      </c>
    </row>
    <row r="42">
      <c r="A42" s="12" t="inlineStr">
        <is>
          <t>管理费用</t>
        </is>
      </c>
      <c r="B42" s="12" t="inlineStr">
        <is>
          <t>职工福利费</t>
        </is>
      </c>
      <c r="C42" s="12" t="inlineStr">
        <is>
          <t>劳保用品</t>
        </is>
      </c>
      <c r="D42" s="3" t="n">
        <v>0</v>
      </c>
      <c r="E42" s="6">
        <f>IF($C$6=0,0,D42/$C$6)</f>
        <v/>
      </c>
      <c r="F42" s="5">
        <f>D42*(1+$C$7)</f>
        <v/>
      </c>
      <c r="G42" s="13" t="n">
        <v>0</v>
      </c>
      <c r="H42" s="6">
        <f>IF($C$2=0,0,G42/$C$2)</f>
        <v/>
      </c>
      <c r="I42" s="3" t="n">
        <v>0</v>
      </c>
      <c r="J42" s="8">
        <f>G42-I42</f>
        <v/>
      </c>
    </row>
    <row r="43">
      <c r="A43" s="12" t="inlineStr">
        <is>
          <t>管理费用</t>
        </is>
      </c>
      <c r="B43" s="12" t="inlineStr">
        <is>
          <t>职工教育经费</t>
        </is>
      </c>
      <c r="C43" s="12" t="inlineStr">
        <is>
          <t>培训费</t>
        </is>
      </c>
      <c r="D43" s="3" t="n">
        <v>0</v>
      </c>
      <c r="E43" s="6">
        <f>IF($C$6=0,0,D43/$C$6)</f>
        <v/>
      </c>
      <c r="F43" s="5">
        <f>D43*(1+$C$7)</f>
        <v/>
      </c>
      <c r="G43" s="13" t="n">
        <v>0</v>
      </c>
      <c r="H43" s="6">
        <f>IF($C$2=0,0,G43/$C$2)</f>
        <v/>
      </c>
      <c r="I43" s="3" t="n">
        <v>0</v>
      </c>
      <c r="J43" s="8">
        <f>G43-I43</f>
        <v/>
      </c>
    </row>
    <row r="44">
      <c r="A44" s="12" t="inlineStr">
        <is>
          <t>管理费用</t>
        </is>
      </c>
      <c r="B44" s="12" t="inlineStr">
        <is>
          <t>职工教育经费</t>
        </is>
      </c>
      <c r="C44" s="12" t="inlineStr">
        <is>
          <t>书籍费</t>
        </is>
      </c>
      <c r="D44" s="3" t="n">
        <v>0</v>
      </c>
      <c r="E44" s="6">
        <f>IF($C$6=0,0,D44/$C$6)</f>
        <v/>
      </c>
      <c r="F44" s="5">
        <f>D44*(1+$C$7)</f>
        <v/>
      </c>
      <c r="G44" s="13" t="n">
        <v>0</v>
      </c>
      <c r="H44" s="6">
        <f>IF($C$2=0,0,G44/$C$2)</f>
        <v/>
      </c>
      <c r="I44" s="3" t="n">
        <v>0</v>
      </c>
      <c r="J44" s="8">
        <f>G44-I44</f>
        <v/>
      </c>
    </row>
    <row r="45">
      <c r="A45" s="12" t="inlineStr">
        <is>
          <t>管理费用</t>
        </is>
      </c>
      <c r="B45" s="12" t="inlineStr">
        <is>
          <t>职工教育经费</t>
        </is>
      </c>
      <c r="C45" s="12" t="inlineStr">
        <is>
          <t>培训住宿</t>
        </is>
      </c>
      <c r="D45" s="3" t="n">
        <v>0</v>
      </c>
      <c r="E45" s="6">
        <f>IF($C$6=0,0,D45/$C$6)</f>
        <v/>
      </c>
      <c r="F45" s="5">
        <f>D45*(1+$C$7)</f>
        <v/>
      </c>
      <c r="G45" s="13" t="n">
        <v>0</v>
      </c>
      <c r="H45" s="6">
        <f>IF($C$2=0,0,G45/$C$2)</f>
        <v/>
      </c>
      <c r="I45" s="3" t="n">
        <v>0</v>
      </c>
      <c r="J45" s="8">
        <f>G45-I45</f>
        <v/>
      </c>
    </row>
    <row r="46">
      <c r="A46" s="12" t="inlineStr">
        <is>
          <t>管理费用</t>
        </is>
      </c>
      <c r="B46" s="12" t="inlineStr">
        <is>
          <t>职工教育经费</t>
        </is>
      </c>
      <c r="C46" s="12" t="inlineStr">
        <is>
          <t>培训餐饮</t>
        </is>
      </c>
      <c r="D46" s="3" t="n">
        <v>0</v>
      </c>
      <c r="E46" s="6">
        <f>IF($C$6=0,0,D46/$C$6)</f>
        <v/>
      </c>
      <c r="F46" s="5">
        <f>D46*(1+$C$7)</f>
        <v/>
      </c>
      <c r="G46" s="13" t="n">
        <v>0</v>
      </c>
      <c r="H46" s="6">
        <f>IF($C$2=0,0,G46/$C$2)</f>
        <v/>
      </c>
      <c r="I46" s="3" t="n">
        <v>0</v>
      </c>
      <c r="J46" s="8">
        <f>G46-I46</f>
        <v/>
      </c>
    </row>
    <row r="47">
      <c r="A47" s="12" t="inlineStr">
        <is>
          <t>管理费用</t>
        </is>
      </c>
      <c r="B47" s="12" t="inlineStr">
        <is>
          <t>职工教育经费</t>
        </is>
      </c>
      <c r="C47" s="12" t="inlineStr">
        <is>
          <t>培训交通</t>
        </is>
      </c>
      <c r="D47" s="3" t="n">
        <v>0</v>
      </c>
      <c r="E47" s="6">
        <f>IF($C$6=0,0,D47/$C$6)</f>
        <v/>
      </c>
      <c r="F47" s="5">
        <f>D47*(1+$C$7)</f>
        <v/>
      </c>
      <c r="G47" s="13" t="n">
        <v>0</v>
      </c>
      <c r="H47" s="6">
        <f>IF($C$2=0,0,G47/$C$2)</f>
        <v/>
      </c>
      <c r="I47" s="3" t="n">
        <v>0</v>
      </c>
      <c r="J47" s="8">
        <f>G47-I47</f>
        <v/>
      </c>
    </row>
    <row r="48">
      <c r="A48" s="12" t="inlineStr">
        <is>
          <t>管理费用</t>
        </is>
      </c>
      <c r="B48" s="12" t="inlineStr">
        <is>
          <t>业务招待费</t>
        </is>
      </c>
      <c r="C48" s="12" t="inlineStr">
        <is>
          <t>餐饮</t>
        </is>
      </c>
      <c r="D48" s="3" t="n">
        <v>0</v>
      </c>
      <c r="E48" s="6">
        <f>IF($C$6=0,0,D48/$C$6)</f>
        <v/>
      </c>
      <c r="F48" s="5">
        <f>D48*(1+$C$7)</f>
        <v/>
      </c>
      <c r="G48" s="13" t="n">
        <v>0</v>
      </c>
      <c r="H48" s="6">
        <f>IF($C$2=0,0,G48/$C$2)</f>
        <v/>
      </c>
      <c r="I48" s="3" t="n">
        <v>0</v>
      </c>
      <c r="J48" s="8">
        <f>G48-I48</f>
        <v/>
      </c>
    </row>
    <row r="49">
      <c r="A49" s="12" t="inlineStr">
        <is>
          <t>管理费用</t>
        </is>
      </c>
      <c r="B49" s="12" t="inlineStr">
        <is>
          <t>业务招待费</t>
        </is>
      </c>
      <c r="C49" s="12" t="inlineStr">
        <is>
          <t>住宿</t>
        </is>
      </c>
      <c r="D49" s="3" t="n">
        <v>0</v>
      </c>
      <c r="E49" s="6">
        <f>IF($C$6=0,0,D49/$C$6)</f>
        <v/>
      </c>
      <c r="F49" s="5">
        <f>D49*(1+$C$7)</f>
        <v/>
      </c>
      <c r="G49" s="13" t="n">
        <v>0</v>
      </c>
      <c r="H49" s="6">
        <f>IF($C$2=0,0,G49/$C$2)</f>
        <v/>
      </c>
      <c r="I49" s="3" t="n">
        <v>0</v>
      </c>
      <c r="J49" s="8">
        <f>G49-I49</f>
        <v/>
      </c>
    </row>
    <row r="50">
      <c r="A50" s="12" t="inlineStr">
        <is>
          <t>管理费用</t>
        </is>
      </c>
      <c r="B50" s="12" t="inlineStr">
        <is>
          <t>业务招待费</t>
        </is>
      </c>
      <c r="C50" s="12" t="inlineStr">
        <is>
          <t>香烟、酒水、礼品</t>
        </is>
      </c>
      <c r="D50" s="3" t="n">
        <v>0</v>
      </c>
      <c r="E50" s="6">
        <f>IF($C$6=0,0,D50/$C$6)</f>
        <v/>
      </c>
      <c r="F50" s="5">
        <f>D50*(1+$C$7)</f>
        <v/>
      </c>
      <c r="G50" s="13" t="n">
        <v>0</v>
      </c>
      <c r="H50" s="6">
        <f>IF($C$2=0,0,G50/$C$2)</f>
        <v/>
      </c>
      <c r="I50" s="3" t="n">
        <v>0</v>
      </c>
      <c r="J50" s="8">
        <f>G50-I50</f>
        <v/>
      </c>
    </row>
    <row r="51">
      <c r="A51" s="12" t="inlineStr">
        <is>
          <t>管理费用</t>
        </is>
      </c>
      <c r="B51" s="12" t="inlineStr">
        <is>
          <t>业务招待费</t>
        </is>
      </c>
      <c r="C51" s="12" t="inlineStr">
        <is>
          <t>旅游</t>
        </is>
      </c>
      <c r="D51" s="3" t="n">
        <v>0</v>
      </c>
      <c r="E51" s="6">
        <f>IF($C$6=0,0,D51/$C$6)</f>
        <v/>
      </c>
      <c r="F51" s="5">
        <f>D51*(1+$C$7)</f>
        <v/>
      </c>
      <c r="G51" s="13" t="n">
        <v>0</v>
      </c>
      <c r="H51" s="6">
        <f>IF($C$2=0,0,G51/$C$2)</f>
        <v/>
      </c>
      <c r="I51" s="3" t="n">
        <v>0</v>
      </c>
      <c r="J51" s="8">
        <f>G51-I51</f>
        <v/>
      </c>
    </row>
    <row r="52">
      <c r="A52" s="12" t="inlineStr">
        <is>
          <t>管理费用</t>
        </is>
      </c>
      <c r="B52" s="12" t="inlineStr">
        <is>
          <t>业务招待费</t>
        </is>
      </c>
      <c r="C52" s="12" t="inlineStr">
        <is>
          <t>娱乐活动费</t>
        </is>
      </c>
      <c r="D52" s="3" t="n">
        <v>0</v>
      </c>
      <c r="E52" s="6">
        <f>IF($C$6=0,0,D52/$C$6)</f>
        <v/>
      </c>
      <c r="F52" s="5">
        <f>D52*(1+$C$7)</f>
        <v/>
      </c>
      <c r="G52" s="13" t="n">
        <v>0</v>
      </c>
      <c r="H52" s="6">
        <f>IF($C$2=0,0,G52/$C$2)</f>
        <v/>
      </c>
      <c r="I52" s="3" t="n">
        <v>0</v>
      </c>
      <c r="J52" s="8">
        <f>G52-I52</f>
        <v/>
      </c>
    </row>
    <row r="53">
      <c r="A53" s="12" t="inlineStr">
        <is>
          <t>管理费用</t>
        </is>
      </c>
      <c r="B53" s="12" t="inlineStr">
        <is>
          <t>汽车费用</t>
        </is>
      </c>
      <c r="C53" s="12" t="inlineStr">
        <is>
          <t>汽车油费</t>
        </is>
      </c>
      <c r="D53" s="3" t="n">
        <v>0</v>
      </c>
      <c r="E53" s="6">
        <f>IF($C$6=0,0,D53/$C$6)</f>
        <v/>
      </c>
      <c r="F53" s="5">
        <f>D53*(1+$C$7)</f>
        <v/>
      </c>
      <c r="G53" s="13" t="n">
        <v>0</v>
      </c>
      <c r="H53" s="6">
        <f>IF($C$2=0,0,G53/$C$2)</f>
        <v/>
      </c>
      <c r="I53" s="3" t="n">
        <v>0</v>
      </c>
      <c r="J53" s="8">
        <f>G53-I53</f>
        <v/>
      </c>
    </row>
    <row r="54">
      <c r="A54" s="12" t="inlineStr">
        <is>
          <t>管理费用</t>
        </is>
      </c>
      <c r="B54" s="12" t="inlineStr">
        <is>
          <t>汽车费用</t>
        </is>
      </c>
      <c r="C54" s="12" t="inlineStr">
        <is>
          <t>停车费</t>
        </is>
      </c>
      <c r="D54" s="3" t="n">
        <v>0</v>
      </c>
      <c r="E54" s="6">
        <f>IF($C$6=0,0,D54/$C$6)</f>
        <v/>
      </c>
      <c r="F54" s="5">
        <f>D54*(1+$C$7)</f>
        <v/>
      </c>
      <c r="G54" s="13" t="n">
        <v>0</v>
      </c>
      <c r="H54" s="6">
        <f>IF($C$2=0,0,G54/$C$2)</f>
        <v/>
      </c>
      <c r="I54" s="3" t="n">
        <v>0</v>
      </c>
      <c r="J54" s="8">
        <f>G54-I54</f>
        <v/>
      </c>
    </row>
    <row r="55">
      <c r="A55" s="12" t="inlineStr">
        <is>
          <t>管理费用</t>
        </is>
      </c>
      <c r="B55" s="12" t="inlineStr">
        <is>
          <t>汽车费用</t>
        </is>
      </c>
      <c r="C55" s="12" t="inlineStr">
        <is>
          <t>过路费</t>
        </is>
      </c>
      <c r="D55" s="3" t="n">
        <v>0</v>
      </c>
      <c r="E55" s="6">
        <f>IF($C$6=0,0,D55/$C$6)</f>
        <v/>
      </c>
      <c r="F55" s="5">
        <f>D55*(1+$C$7)</f>
        <v/>
      </c>
      <c r="G55" s="13" t="n">
        <v>0</v>
      </c>
      <c r="H55" s="6">
        <f>IF($C$2=0,0,G55/$C$2)</f>
        <v/>
      </c>
      <c r="I55" s="3" t="n">
        <v>0</v>
      </c>
      <c r="J55" s="8">
        <f>G55-I55</f>
        <v/>
      </c>
    </row>
    <row r="56">
      <c r="A56" s="12" t="inlineStr">
        <is>
          <t>管理费用</t>
        </is>
      </c>
      <c r="B56" s="12" t="inlineStr">
        <is>
          <t>汽车费用</t>
        </is>
      </c>
      <c r="C56" s="12" t="inlineStr">
        <is>
          <t>维修保养费</t>
        </is>
      </c>
      <c r="D56" s="3" t="n">
        <v>0</v>
      </c>
      <c r="E56" s="6">
        <f>IF($C$6=0,0,D56/$C$6)</f>
        <v/>
      </c>
      <c r="F56" s="5">
        <f>D56*(1+$C$7)</f>
        <v/>
      </c>
      <c r="G56" s="13" t="n">
        <v>0</v>
      </c>
      <c r="H56" s="6">
        <f>IF($C$2=0,0,G56/$C$2)</f>
        <v/>
      </c>
      <c r="I56" s="3" t="n">
        <v>0</v>
      </c>
      <c r="J56" s="8">
        <f>G56-I56</f>
        <v/>
      </c>
    </row>
    <row r="57">
      <c r="A57" s="12" t="inlineStr">
        <is>
          <t>管理费用</t>
        </is>
      </c>
      <c r="B57" s="12" t="inlineStr">
        <is>
          <t>汽车费用</t>
        </is>
      </c>
      <c r="C57" s="12" t="inlineStr">
        <is>
          <t>保险费</t>
        </is>
      </c>
      <c r="D57" s="3" t="n">
        <v>0</v>
      </c>
      <c r="E57" s="6">
        <f>IF($C$6=0,0,D57/$C$6)</f>
        <v/>
      </c>
      <c r="F57" s="5">
        <f>D57*(1+$C$7)</f>
        <v/>
      </c>
      <c r="G57" s="13" t="n">
        <v>0</v>
      </c>
      <c r="H57" s="6">
        <f>IF($C$2=0,0,G57/$C$2)</f>
        <v/>
      </c>
      <c r="I57" s="3" t="n">
        <v>0</v>
      </c>
      <c r="J57" s="8">
        <f>G57-I57</f>
        <v/>
      </c>
    </row>
    <row r="58">
      <c r="A58" s="12" t="inlineStr">
        <is>
          <t>管理费用</t>
        </is>
      </c>
      <c r="B58" s="12" t="inlineStr">
        <is>
          <t>汽车费用</t>
        </is>
      </c>
      <c r="C58" s="12" t="inlineStr">
        <is>
          <t>ETC费</t>
        </is>
      </c>
      <c r="D58" s="3" t="n">
        <v>0</v>
      </c>
      <c r="E58" s="6">
        <f>IF($C$6=0,0,D58/$C$6)</f>
        <v/>
      </c>
      <c r="F58" s="5">
        <f>D58*(1+$C$7)</f>
        <v/>
      </c>
      <c r="G58" s="13" t="n">
        <v>0</v>
      </c>
      <c r="H58" s="6">
        <f>IF($C$2=0,0,G58/$C$2)</f>
        <v/>
      </c>
      <c r="I58" s="3" t="n">
        <v>0</v>
      </c>
      <c r="J58" s="8">
        <f>G58-I58</f>
        <v/>
      </c>
    </row>
    <row r="59">
      <c r="A59" s="12" t="inlineStr">
        <is>
          <t>管理费用</t>
        </is>
      </c>
      <c r="B59" s="12" t="inlineStr">
        <is>
          <t>办公费</t>
        </is>
      </c>
      <c r="C59" s="12" t="inlineStr">
        <is>
          <t>交通费</t>
        </is>
      </c>
      <c r="D59" s="3" t="n">
        <v>0</v>
      </c>
      <c r="E59" s="6">
        <f>IF($C$6=0,0,D59/$C$6)</f>
        <v/>
      </c>
      <c r="F59" s="5">
        <f>D59*(1+$C$7)</f>
        <v/>
      </c>
      <c r="G59" s="13" t="n">
        <v>0</v>
      </c>
      <c r="H59" s="6">
        <f>IF($C$2=0,0,G59/$C$2)</f>
        <v/>
      </c>
      <c r="I59" s="3" t="n">
        <v>0</v>
      </c>
      <c r="J59" s="8">
        <f>G59-I59</f>
        <v/>
      </c>
    </row>
    <row r="60">
      <c r="A60" s="12" t="inlineStr">
        <is>
          <t>管理费用</t>
        </is>
      </c>
      <c r="B60" s="12" t="inlineStr">
        <is>
          <t>办公费</t>
        </is>
      </c>
      <c r="C60" s="12" t="inlineStr">
        <is>
          <t>饮用水费</t>
        </is>
      </c>
      <c r="D60" s="3" t="n">
        <v>0</v>
      </c>
      <c r="E60" s="6">
        <f>IF($C$6=0,0,D60/$C$6)</f>
        <v/>
      </c>
      <c r="F60" s="5">
        <f>D60*(1+$C$7)</f>
        <v/>
      </c>
      <c r="G60" s="13" t="n">
        <v>0</v>
      </c>
      <c r="H60" s="6">
        <f>IF($C$2=0,0,G60/$C$2)</f>
        <v/>
      </c>
      <c r="I60" s="3" t="n">
        <v>0</v>
      </c>
      <c r="J60" s="8">
        <f>G60-I60</f>
        <v/>
      </c>
    </row>
    <row r="61">
      <c r="A61" s="12" t="inlineStr">
        <is>
          <t>管理费用</t>
        </is>
      </c>
      <c r="B61" s="12" t="inlineStr">
        <is>
          <t>办公费</t>
        </is>
      </c>
      <c r="C61" s="12" t="inlineStr">
        <is>
          <t>宽带、电话费</t>
        </is>
      </c>
      <c r="D61" s="3" t="n">
        <v>0</v>
      </c>
      <c r="E61" s="6">
        <f>IF($C$6=0,0,D61/$C$6)</f>
        <v/>
      </c>
      <c r="F61" s="5">
        <f>D61*(1+$C$7)</f>
        <v/>
      </c>
      <c r="G61" s="13" t="n">
        <v>0</v>
      </c>
      <c r="H61" s="6">
        <f>IF($C$2=0,0,G61/$C$2)</f>
        <v/>
      </c>
      <c r="I61" s="3" t="n">
        <v>0</v>
      </c>
      <c r="J61" s="8">
        <f>G61-I61</f>
        <v/>
      </c>
    </row>
    <row r="62">
      <c r="A62" s="12" t="inlineStr">
        <is>
          <t>管理费用</t>
        </is>
      </c>
      <c r="B62" s="12" t="inlineStr">
        <is>
          <t>办公费</t>
        </is>
      </c>
      <c r="C62" s="12" t="inlineStr">
        <is>
          <t>快递费、物流费</t>
        </is>
      </c>
      <c r="D62" s="3" t="n">
        <v>0</v>
      </c>
      <c r="E62" s="6">
        <f>IF($C$6=0,0,D62/$C$6)</f>
        <v/>
      </c>
      <c r="F62" s="5">
        <f>D62*(1+$C$7)</f>
        <v/>
      </c>
      <c r="G62" s="13" t="n">
        <v>0</v>
      </c>
      <c r="H62" s="6">
        <f>IF($C$2=0,0,G62/$C$2)</f>
        <v/>
      </c>
      <c r="I62" s="3" t="n">
        <v>0</v>
      </c>
      <c r="J62" s="8">
        <f>G62-I62</f>
        <v/>
      </c>
    </row>
    <row r="63">
      <c r="A63" s="12" t="inlineStr">
        <is>
          <t>管理费用</t>
        </is>
      </c>
      <c r="B63" s="12" t="inlineStr">
        <is>
          <t>办公费</t>
        </is>
      </c>
      <c r="C63" s="12" t="inlineStr">
        <is>
          <t>办公耗材（电脑配件、A4纸、墨粉盒等）</t>
        </is>
      </c>
      <c r="D63" s="3" t="n">
        <v>0</v>
      </c>
      <c r="E63" s="6">
        <f>IF($C$6=0,0,D63/$C$6)</f>
        <v/>
      </c>
      <c r="F63" s="5">
        <f>D63*(1+$C$7)</f>
        <v/>
      </c>
      <c r="G63" s="13" t="n">
        <v>0</v>
      </c>
      <c r="H63" s="6">
        <f>IF($C$2=0,0,G63/$C$2)</f>
        <v/>
      </c>
      <c r="I63" s="3" t="n">
        <v>0</v>
      </c>
      <c r="J63" s="8">
        <f>G63-I63</f>
        <v/>
      </c>
    </row>
    <row r="64">
      <c r="A64" s="12" t="inlineStr">
        <is>
          <t>管理费用</t>
        </is>
      </c>
      <c r="B64" s="12" t="inlineStr">
        <is>
          <t>办公费</t>
        </is>
      </c>
      <c r="C64" s="12" t="inlineStr">
        <is>
          <t>办公设备（家具、灯饰、窗帘、电脑、手机、打印机、茶具等）</t>
        </is>
      </c>
      <c r="D64" s="3" t="n">
        <v>0</v>
      </c>
      <c r="E64" s="6">
        <f>IF($C$6=0,0,D64/$C$6)</f>
        <v/>
      </c>
      <c r="F64" s="5">
        <f>D64*(1+$C$7)</f>
        <v/>
      </c>
      <c r="G64" s="13" t="n">
        <v>0</v>
      </c>
      <c r="H64" s="6">
        <f>IF($C$2=0,0,G64/$C$2)</f>
        <v/>
      </c>
      <c r="I64" s="3" t="n">
        <v>0</v>
      </c>
      <c r="J64" s="8">
        <f>G64-I64</f>
        <v/>
      </c>
    </row>
    <row r="65">
      <c r="A65" s="12" t="inlineStr">
        <is>
          <t>管理费用</t>
        </is>
      </c>
      <c r="B65" s="12" t="inlineStr">
        <is>
          <t>装修费</t>
        </is>
      </c>
      <c r="C65" s="12" t="inlineStr">
        <is>
          <t>设计费</t>
        </is>
      </c>
      <c r="D65" s="3" t="n">
        <v>0</v>
      </c>
      <c r="E65" s="6">
        <f>IF($C$6=0,0,D65/$C$6)</f>
        <v/>
      </c>
      <c r="F65" s="5">
        <f>D65*(1+$C$7)</f>
        <v/>
      </c>
      <c r="G65" s="13" t="n">
        <v>0</v>
      </c>
      <c r="H65" s="6">
        <f>IF($C$2=0,0,G65/$C$2)</f>
        <v/>
      </c>
      <c r="I65" s="3" t="n">
        <v>0</v>
      </c>
      <c r="J65" s="8">
        <f>G65-I65</f>
        <v/>
      </c>
    </row>
    <row r="66">
      <c r="A66" s="12" t="inlineStr">
        <is>
          <t>管理费用</t>
        </is>
      </c>
      <c r="B66" s="12" t="inlineStr">
        <is>
          <t>装修费</t>
        </is>
      </c>
      <c r="C66" s="12" t="inlineStr">
        <is>
          <t>装饰服务费</t>
        </is>
      </c>
      <c r="D66" s="3" t="n">
        <v>0</v>
      </c>
      <c r="E66" s="6">
        <f>IF($C$6=0,0,D66/$C$6)</f>
        <v/>
      </c>
      <c r="F66" s="5">
        <f>D66*(1+$C$7)</f>
        <v/>
      </c>
      <c r="G66" s="13" t="n">
        <v>0</v>
      </c>
      <c r="H66" s="6">
        <f>IF($C$2=0,0,G66/$C$2)</f>
        <v/>
      </c>
      <c r="I66" s="3" t="n">
        <v>0</v>
      </c>
      <c r="J66" s="8">
        <f>G66-I66</f>
        <v/>
      </c>
    </row>
    <row r="67">
      <c r="A67" s="12" t="inlineStr">
        <is>
          <t>管理费用</t>
        </is>
      </c>
      <c r="B67" s="12" t="inlineStr">
        <is>
          <t>专利费（冠名）</t>
        </is>
      </c>
      <c r="C67" s="12" t="inlineStr">
        <is>
          <t>专利费</t>
        </is>
      </c>
      <c r="D67" s="3" t="n">
        <v>0</v>
      </c>
      <c r="E67" s="6">
        <f>IF($C$6=0,0,D67/$C$6)</f>
        <v/>
      </c>
      <c r="F67" s="5">
        <f>D67*(1+$C$7)</f>
        <v/>
      </c>
      <c r="G67" s="13" t="n">
        <v>0</v>
      </c>
      <c r="H67" s="6">
        <f>IF($C$2=0,0,G67/$C$2)</f>
        <v/>
      </c>
      <c r="I67" s="3" t="n">
        <v>0</v>
      </c>
      <c r="J67" s="8">
        <f>G67-I67</f>
        <v/>
      </c>
    </row>
    <row r="68">
      <c r="A68" s="12" t="inlineStr">
        <is>
          <t>管理费用</t>
        </is>
      </c>
      <c r="B68" s="12" t="inlineStr">
        <is>
          <t>审计费</t>
        </is>
      </c>
      <c r="C68" s="12" t="inlineStr">
        <is>
          <t>审计费</t>
        </is>
      </c>
      <c r="D68" s="3" t="n">
        <v>0</v>
      </c>
      <c r="E68" s="6">
        <f>IF($C$6=0,0,D68/$C$6)</f>
        <v/>
      </c>
      <c r="F68" s="5">
        <f>D68*(1+$C$7)</f>
        <v/>
      </c>
      <c r="G68" s="13" t="n">
        <v>0</v>
      </c>
      <c r="H68" s="6">
        <f>IF($C$2=0,0,G68/$C$2)</f>
        <v/>
      </c>
      <c r="I68" s="3" t="n">
        <v>0</v>
      </c>
      <c r="J68" s="8">
        <f>G68-I68</f>
        <v/>
      </c>
    </row>
    <row r="69">
      <c r="A69" s="12" t="inlineStr">
        <is>
          <t>管理费用</t>
        </is>
      </c>
      <c r="B69" s="12" t="inlineStr">
        <is>
          <t>公正费</t>
        </is>
      </c>
      <c r="C69" s="12" t="inlineStr">
        <is>
          <t>公正费</t>
        </is>
      </c>
      <c r="D69" s="3" t="n">
        <v>0</v>
      </c>
      <c r="E69" s="6">
        <f>IF($C$6=0,0,D69/$C$6)</f>
        <v/>
      </c>
      <c r="F69" s="5">
        <f>D69*(1+$C$7)</f>
        <v/>
      </c>
      <c r="G69" s="13" t="n">
        <v>0</v>
      </c>
      <c r="H69" s="6">
        <f>IF($C$2=0,0,G69/$C$2)</f>
        <v/>
      </c>
      <c r="I69" s="3" t="n">
        <v>0</v>
      </c>
      <c r="J69" s="8">
        <f>G69-I69</f>
        <v/>
      </c>
    </row>
    <row r="70">
      <c r="A70" s="12" t="inlineStr">
        <is>
          <t>管理费用</t>
        </is>
      </c>
      <c r="B70" s="12" t="inlineStr">
        <is>
          <t>诉讼费</t>
        </is>
      </c>
      <c r="C70" s="12" t="inlineStr">
        <is>
          <t>诉讼费</t>
        </is>
      </c>
      <c r="D70" s="3" t="n">
        <v>0</v>
      </c>
      <c r="E70" s="6">
        <f>IF($C$6=0,0,D70/$C$6)</f>
        <v/>
      </c>
      <c r="F70" s="5">
        <f>D70*(1+$C$7)</f>
        <v/>
      </c>
      <c r="G70" s="13" t="n">
        <v>0</v>
      </c>
      <c r="H70" s="6">
        <f>IF($C$2=0,0,G70/$C$2)</f>
        <v/>
      </c>
      <c r="I70" s="3" t="n">
        <v>0</v>
      </c>
      <c r="J70" s="8">
        <f>G70-I70</f>
        <v/>
      </c>
    </row>
    <row r="71">
      <c r="A71" s="12" t="inlineStr">
        <is>
          <t>管理费用</t>
        </is>
      </c>
      <c r="B71" s="12" t="inlineStr">
        <is>
          <t>摊销折旧费</t>
        </is>
      </c>
      <c r="C71" s="12" t="inlineStr">
        <is>
          <t>折旧费</t>
        </is>
      </c>
      <c r="D71" s="3" t="n">
        <v>0</v>
      </c>
      <c r="E71" s="6">
        <f>IF($C$6=0,0,D71/$C$6)</f>
        <v/>
      </c>
      <c r="F71" s="5">
        <f>D71*(1+$C$7)</f>
        <v/>
      </c>
      <c r="G71" s="13" t="n">
        <v>0</v>
      </c>
      <c r="H71" s="6">
        <f>IF($C$2=0,0,G71/$C$2)</f>
        <v/>
      </c>
      <c r="I71" s="3" t="n">
        <v>0</v>
      </c>
      <c r="J71" s="8">
        <f>G71-I71</f>
        <v/>
      </c>
    </row>
    <row r="72">
      <c r="A72" s="12" t="inlineStr">
        <is>
          <t>管理费用</t>
        </is>
      </c>
      <c r="B72" s="12" t="inlineStr">
        <is>
          <t>摊销折旧费</t>
        </is>
      </c>
      <c r="C72" s="12" t="inlineStr">
        <is>
          <t>摊销费</t>
        </is>
      </c>
      <c r="D72" s="3" t="n">
        <v>0</v>
      </c>
      <c r="E72" s="6">
        <f>IF($C$6=0,0,D72/$C$6)</f>
        <v/>
      </c>
      <c r="F72" s="5">
        <f>D72*(1+$C$7)</f>
        <v/>
      </c>
      <c r="G72" s="13" t="n">
        <v>0</v>
      </c>
      <c r="H72" s="6">
        <f>IF($C$2=0,0,G72/$C$2)</f>
        <v/>
      </c>
      <c r="I72" s="3" t="n">
        <v>0</v>
      </c>
      <c r="J72" s="8">
        <f>G72-I72</f>
        <v/>
      </c>
    </row>
    <row r="73">
      <c r="A73" s="12" t="inlineStr">
        <is>
          <t>管理费用</t>
        </is>
      </c>
      <c r="B73" s="12" t="inlineStr">
        <is>
          <t>摊销折旧费</t>
        </is>
      </c>
      <c r="C73" s="12" t="inlineStr">
        <is>
          <t>长期待摊</t>
        </is>
      </c>
      <c r="D73" s="3" t="n">
        <v>0</v>
      </c>
      <c r="E73" s="6">
        <f>IF($C$6=0,0,D73/$C$6)</f>
        <v/>
      </c>
      <c r="F73" s="5">
        <f>D73*(1+$C$7)</f>
        <v/>
      </c>
      <c r="G73" s="13" t="n">
        <v>0</v>
      </c>
      <c r="H73" s="6">
        <f>IF($C$2=0,0,G73/$C$2)</f>
        <v/>
      </c>
      <c r="I73" s="3" t="n">
        <v>0</v>
      </c>
      <c r="J73" s="8">
        <f>G73-I73</f>
        <v/>
      </c>
    </row>
    <row r="74">
      <c r="A74" s="12" t="inlineStr">
        <is>
          <t>管理费用</t>
        </is>
      </c>
      <c r="B74" s="12" t="inlineStr">
        <is>
          <t>差旅费</t>
        </is>
      </c>
      <c r="C74" s="12" t="inlineStr">
        <is>
          <t>餐饮费</t>
        </is>
      </c>
      <c r="D74" s="3" t="n">
        <v>0</v>
      </c>
      <c r="E74" s="6">
        <f>IF($C$6=0,0,D74/$C$6)</f>
        <v/>
      </c>
      <c r="F74" s="5">
        <f>D74*(1+$C$7)</f>
        <v/>
      </c>
      <c r="G74" s="13" t="n">
        <v>0</v>
      </c>
      <c r="H74" s="6">
        <f>IF($C$2=0,0,G74/$C$2)</f>
        <v/>
      </c>
      <c r="I74" s="3" t="n">
        <v>0</v>
      </c>
      <c r="J74" s="8">
        <f>G74-I74</f>
        <v/>
      </c>
    </row>
    <row r="75">
      <c r="A75" s="12" t="inlineStr">
        <is>
          <t>管理费用</t>
        </is>
      </c>
      <c r="B75" s="12" t="inlineStr">
        <is>
          <t>差旅费</t>
        </is>
      </c>
      <c r="C75" s="12" t="inlineStr">
        <is>
          <t>住宿费</t>
        </is>
      </c>
      <c r="D75" s="3" t="n">
        <v>0</v>
      </c>
      <c r="E75" s="6">
        <f>IF($C$6=0,0,D75/$C$6)</f>
        <v/>
      </c>
      <c r="F75" s="5">
        <f>D75*(1+$C$7)</f>
        <v/>
      </c>
      <c r="G75" s="13" t="n">
        <v>0</v>
      </c>
      <c r="H75" s="6">
        <f>IF($C$2=0,0,G75/$C$2)</f>
        <v/>
      </c>
      <c r="I75" s="3" t="n">
        <v>0</v>
      </c>
      <c r="J75" s="8">
        <f>G75-I75</f>
        <v/>
      </c>
    </row>
    <row r="76">
      <c r="A76" s="12" t="inlineStr">
        <is>
          <t>管理费用</t>
        </is>
      </c>
      <c r="B76" s="12" t="inlineStr">
        <is>
          <t>差旅费</t>
        </is>
      </c>
      <c r="C76" s="12" t="inlineStr">
        <is>
          <t>高铁票</t>
        </is>
      </c>
      <c r="D76" s="3" t="n">
        <v>0</v>
      </c>
      <c r="E76" s="6">
        <f>IF($C$6=0,0,D76/$C$6)</f>
        <v/>
      </c>
      <c r="F76" s="5">
        <f>D76*(1+$C$7)</f>
        <v/>
      </c>
      <c r="G76" s="13" t="n">
        <v>0</v>
      </c>
      <c r="H76" s="6">
        <f>IF($C$2=0,0,G76/$C$2)</f>
        <v/>
      </c>
      <c r="I76" s="3" t="n">
        <v>0</v>
      </c>
      <c r="J76" s="8">
        <f>G76-I76</f>
        <v/>
      </c>
    </row>
    <row r="77">
      <c r="A77" s="12" t="inlineStr">
        <is>
          <t>管理费用</t>
        </is>
      </c>
      <c r="B77" s="12" t="inlineStr">
        <is>
          <t>差旅费</t>
        </is>
      </c>
      <c r="C77" s="12" t="inlineStr">
        <is>
          <t>机票</t>
        </is>
      </c>
      <c r="D77" s="3" t="n">
        <v>0</v>
      </c>
      <c r="E77" s="6">
        <f>IF($C$6=0,0,D77/$C$6)</f>
        <v/>
      </c>
      <c r="F77" s="5">
        <f>D77*(1+$C$7)</f>
        <v/>
      </c>
      <c r="G77" s="13" t="n">
        <v>0</v>
      </c>
      <c r="H77" s="6">
        <f>IF($C$2=0,0,G77/$C$2)</f>
        <v/>
      </c>
      <c r="I77" s="3" t="n">
        <v>0</v>
      </c>
      <c r="J77" s="8">
        <f>G77-I77</f>
        <v/>
      </c>
    </row>
    <row r="78">
      <c r="A78" s="12" t="inlineStr">
        <is>
          <t>管理费用</t>
        </is>
      </c>
      <c r="B78" s="12" t="inlineStr">
        <is>
          <t>房屋租赁费</t>
        </is>
      </c>
      <c r="C78" s="12" t="inlineStr">
        <is>
          <t>经营场地租赁费</t>
        </is>
      </c>
      <c r="D78" s="3" t="n">
        <v>0</v>
      </c>
      <c r="E78" s="6">
        <f>IF($C$6=0,0,D78/$C$6)</f>
        <v/>
      </c>
      <c r="F78" s="5">
        <f>D78*(1+$C$7)</f>
        <v/>
      </c>
      <c r="G78" s="13" t="n">
        <v>0</v>
      </c>
      <c r="H78" s="6">
        <f>IF($C$2=0,0,G78/$C$2)</f>
        <v/>
      </c>
      <c r="I78" s="3" t="n">
        <v>0</v>
      </c>
      <c r="J78" s="8">
        <f>G78-I78</f>
        <v/>
      </c>
    </row>
    <row r="79">
      <c r="A79" s="12" t="inlineStr">
        <is>
          <t>管理费用</t>
        </is>
      </c>
      <c r="B79" s="12" t="inlineStr">
        <is>
          <t>房屋租赁费</t>
        </is>
      </c>
      <c r="C79" s="12" t="inlineStr">
        <is>
          <t>水电费</t>
        </is>
      </c>
      <c r="D79" s="3" t="n">
        <v>0</v>
      </c>
      <c r="E79" s="6">
        <f>IF($C$6=0,0,D79/$C$6)</f>
        <v/>
      </c>
      <c r="F79" s="5">
        <f>D79*(1+$C$7)</f>
        <v/>
      </c>
      <c r="G79" s="13" t="n">
        <v>0</v>
      </c>
      <c r="H79" s="6">
        <f>IF($C$2=0,0,G79/$C$2)</f>
        <v/>
      </c>
      <c r="I79" s="3" t="n">
        <v>0</v>
      </c>
      <c r="J79" s="8">
        <f>G79-I79</f>
        <v/>
      </c>
    </row>
    <row r="80">
      <c r="A80" s="12" t="inlineStr">
        <is>
          <t>管理费用</t>
        </is>
      </c>
      <c r="B80" s="12" t="inlineStr">
        <is>
          <t>房屋租赁费</t>
        </is>
      </c>
      <c r="C80" s="12" t="inlineStr">
        <is>
          <t>物业管理费</t>
        </is>
      </c>
      <c r="D80" s="3" t="n">
        <v>0</v>
      </c>
      <c r="E80" s="6">
        <f>IF($C$6=0,0,D80/$C$6)</f>
        <v/>
      </c>
      <c r="F80" s="5">
        <f>D80*(1+$C$7)</f>
        <v/>
      </c>
      <c r="G80" s="13" t="n">
        <v>0</v>
      </c>
      <c r="H80" s="6">
        <f>IF($C$2=0,0,G80/$C$2)</f>
        <v/>
      </c>
      <c r="I80" s="3" t="n">
        <v>0</v>
      </c>
      <c r="J80" s="8">
        <f>G80-I80</f>
        <v/>
      </c>
    </row>
    <row r="81">
      <c r="A81" s="12" t="inlineStr">
        <is>
          <t>管理费用</t>
        </is>
      </c>
      <c r="B81" s="12" t="inlineStr">
        <is>
          <t>中介机构服务费</t>
        </is>
      </c>
      <c r="C81" s="12" t="inlineStr">
        <is>
          <t>法律顾问费</t>
        </is>
      </c>
      <c r="D81" s="3" t="n">
        <v>0</v>
      </c>
      <c r="E81" s="6">
        <f>IF($C$6=0,0,D81/$C$6)</f>
        <v/>
      </c>
      <c r="F81" s="5">
        <f>D81*(1+$C$7)</f>
        <v/>
      </c>
      <c r="G81" s="13" t="n">
        <v>0</v>
      </c>
      <c r="H81" s="6">
        <f>IF($C$2=0,0,G81/$C$2)</f>
        <v/>
      </c>
      <c r="I81" s="3" t="n">
        <v>0</v>
      </c>
      <c r="J81" s="8">
        <f>G81-I81</f>
        <v/>
      </c>
    </row>
    <row r="82">
      <c r="A82" s="12" t="inlineStr">
        <is>
          <t>管理费用</t>
        </is>
      </c>
      <c r="B82" s="12" t="inlineStr">
        <is>
          <t>中介机构服务费</t>
        </is>
      </c>
      <c r="C82" s="12" t="inlineStr">
        <is>
          <t>财务顾问费</t>
        </is>
      </c>
      <c r="D82" s="3" t="n">
        <v>0</v>
      </c>
      <c r="E82" s="6">
        <f>IF($C$6=0,0,D82/$C$6)</f>
        <v/>
      </c>
      <c r="F82" s="5">
        <f>D82*(1+$C$7)</f>
        <v/>
      </c>
      <c r="G82" s="13" t="n">
        <v>0</v>
      </c>
      <c r="H82" s="6">
        <f>IF($C$2=0,0,G82/$C$2)</f>
        <v/>
      </c>
      <c r="I82" s="3" t="n">
        <v>0</v>
      </c>
      <c r="J82" s="8">
        <f>G82-I82</f>
        <v/>
      </c>
    </row>
    <row r="83">
      <c r="A83" s="12" t="inlineStr">
        <is>
          <t>管理费用</t>
        </is>
      </c>
      <c r="B83" s="12" t="inlineStr">
        <is>
          <t>中介机构服务费</t>
        </is>
      </c>
      <c r="C83" s="12" t="inlineStr">
        <is>
          <t>技术咨询费</t>
        </is>
      </c>
      <c r="D83" s="3" t="n">
        <v>0</v>
      </c>
      <c r="E83" s="6">
        <f>IF($C$6=0,0,D83/$C$6)</f>
        <v/>
      </c>
      <c r="F83" s="5">
        <f>D83*(1+$C$7)</f>
        <v/>
      </c>
      <c r="G83" s="13" t="n">
        <v>0</v>
      </c>
      <c r="H83" s="6">
        <f>IF($C$2=0,0,G83/$C$2)</f>
        <v/>
      </c>
      <c r="I83" s="3" t="n">
        <v>0</v>
      </c>
      <c r="J83" s="8">
        <f>G83-I83</f>
        <v/>
      </c>
    </row>
    <row r="84">
      <c r="A84" s="12" t="inlineStr">
        <is>
          <t>管理费用</t>
        </is>
      </c>
      <c r="B84" s="12" t="inlineStr">
        <is>
          <t>中介机构服务费</t>
        </is>
      </c>
      <c r="C84" s="12" t="inlineStr">
        <is>
          <t>项目咨询费</t>
        </is>
      </c>
      <c r="D84" s="3" t="n">
        <v>0</v>
      </c>
      <c r="E84" s="6">
        <f>IF($C$6=0,0,D84/$C$6)</f>
        <v/>
      </c>
      <c r="F84" s="5">
        <f>D84*(1+$C$7)</f>
        <v/>
      </c>
      <c r="G84" s="13" t="n">
        <v>0</v>
      </c>
      <c r="H84" s="6">
        <f>IF($C$2=0,0,G84/$C$2)</f>
        <v/>
      </c>
      <c r="I84" s="3" t="n">
        <v>0</v>
      </c>
      <c r="J84" s="8">
        <f>G84-I84</f>
        <v/>
      </c>
    </row>
    <row r="85">
      <c r="A85" s="12" t="inlineStr">
        <is>
          <t>管理费用</t>
        </is>
      </c>
      <c r="B85" s="12" t="inlineStr">
        <is>
          <t>中介机构服务费</t>
        </is>
      </c>
      <c r="C85" s="12" t="inlineStr">
        <is>
          <t>人事咨询费</t>
        </is>
      </c>
      <c r="D85" s="3" t="n">
        <v>0</v>
      </c>
      <c r="E85" s="6">
        <f>IF($C$6=0,0,D85/$C$6)</f>
        <v/>
      </c>
      <c r="F85" s="5">
        <f>D85*(1+$C$7)</f>
        <v/>
      </c>
      <c r="G85" s="13" t="n">
        <v>0</v>
      </c>
      <c r="H85" s="6">
        <f>IF($C$2=0,0,G85/$C$2)</f>
        <v/>
      </c>
      <c r="I85" s="3" t="n">
        <v>0</v>
      </c>
      <c r="J85" s="8">
        <f>G85-I85</f>
        <v/>
      </c>
    </row>
    <row r="86">
      <c r="A86" s="12" t="inlineStr">
        <is>
          <t>管理费用</t>
        </is>
      </c>
      <c r="B86" s="12" t="inlineStr">
        <is>
          <t>外包服务费</t>
        </is>
      </c>
      <c r="C86" s="12" t="inlineStr">
        <is>
          <t>保洁外包</t>
        </is>
      </c>
      <c r="D86" s="3" t="n">
        <v>0</v>
      </c>
      <c r="E86" s="6">
        <f>IF($C$6=0,0,D86/$C$6)</f>
        <v/>
      </c>
      <c r="F86" s="5">
        <f>D86*(1+$C$7)</f>
        <v/>
      </c>
      <c r="G86" s="13" t="n">
        <v>0</v>
      </c>
      <c r="H86" s="6">
        <f>IF($C$2=0,0,G86/$C$2)</f>
        <v/>
      </c>
      <c r="I86" s="3" t="n">
        <v>0</v>
      </c>
      <c r="J86" s="8">
        <f>G86-I86</f>
        <v/>
      </c>
    </row>
    <row r="87">
      <c r="A87" s="12" t="inlineStr">
        <is>
          <t>管理费用</t>
        </is>
      </c>
      <c r="B87" s="12" t="inlineStr">
        <is>
          <t>外包服务费</t>
        </is>
      </c>
      <c r="C87" s="12" t="inlineStr">
        <is>
          <t>安保外包</t>
        </is>
      </c>
      <c r="D87" s="3" t="n">
        <v>0</v>
      </c>
      <c r="E87" s="6">
        <f>IF($C$6=0,0,D87/$C$6)</f>
        <v/>
      </c>
      <c r="F87" s="5">
        <f>D87*(1+$C$7)</f>
        <v/>
      </c>
      <c r="G87" s="13" t="n">
        <v>0</v>
      </c>
      <c r="H87" s="6">
        <f>IF($C$2=0,0,G87/$C$2)</f>
        <v/>
      </c>
      <c r="I87" s="3" t="n">
        <v>0</v>
      </c>
      <c r="J87" s="8">
        <f>G87-I87</f>
        <v/>
      </c>
    </row>
    <row r="88">
      <c r="A88" s="12" t="inlineStr">
        <is>
          <t>管理费用</t>
        </is>
      </c>
      <c r="B88" s="12" t="inlineStr">
        <is>
          <t>外包服务费</t>
        </is>
      </c>
      <c r="C88" s="12" t="inlineStr">
        <is>
          <t>绿化绿植外包</t>
        </is>
      </c>
      <c r="D88" s="3" t="n">
        <v>0</v>
      </c>
      <c r="E88" s="6">
        <f>IF($C$6=0,0,D88/$C$6)</f>
        <v/>
      </c>
      <c r="F88" s="5">
        <f>D88*(1+$C$7)</f>
        <v/>
      </c>
      <c r="G88" s="13" t="n">
        <v>0</v>
      </c>
      <c r="H88" s="6">
        <f>IF($C$2=0,0,G88/$C$2)</f>
        <v/>
      </c>
      <c r="I88" s="3" t="n">
        <v>0</v>
      </c>
      <c r="J88" s="8">
        <f>G88-I88</f>
        <v/>
      </c>
    </row>
    <row r="89">
      <c r="A89" s="12" t="inlineStr">
        <is>
          <t>管理费用</t>
        </is>
      </c>
      <c r="B89" s="12" t="inlineStr">
        <is>
          <t>研发费用</t>
        </is>
      </c>
      <c r="C89" s="12" t="inlineStr">
        <is>
          <t>研发费用</t>
        </is>
      </c>
      <c r="D89" s="3" t="n">
        <v>0</v>
      </c>
      <c r="E89" s="6">
        <f>IF($C$6=0,0,D89/$C$6)</f>
        <v/>
      </c>
      <c r="F89" s="5">
        <f>D89*(1+$C$7)</f>
        <v/>
      </c>
      <c r="G89" s="13" t="n">
        <v>0</v>
      </c>
      <c r="H89" s="6">
        <f>IF($C$2=0,0,G89/$C$2)</f>
        <v/>
      </c>
      <c r="I89" s="3" t="n">
        <v>0</v>
      </c>
      <c r="J89" s="8">
        <f>G89-I89</f>
        <v/>
      </c>
    </row>
    <row r="90">
      <c r="A90" s="12" t="inlineStr">
        <is>
          <t>管理费用</t>
        </is>
      </c>
      <c r="B90" s="12" t="inlineStr">
        <is>
          <t>工会经费</t>
        </is>
      </c>
      <c r="C90" s="12" t="inlineStr">
        <is>
          <t>工会经费</t>
        </is>
      </c>
      <c r="D90" s="3" t="n">
        <v>0</v>
      </c>
      <c r="E90" s="6">
        <f>IF($C$6=0,0,D90/$C$6)</f>
        <v/>
      </c>
      <c r="F90" s="5">
        <f>D90*(1+$C$7)</f>
        <v/>
      </c>
      <c r="G90" s="13" t="n">
        <v>0</v>
      </c>
      <c r="H90" s="6">
        <f>IF($C$2=0,0,G90/$C$2)</f>
        <v/>
      </c>
      <c r="I90" s="3" t="n">
        <v>0</v>
      </c>
      <c r="J90" s="8">
        <f>G90-I90</f>
        <v/>
      </c>
    </row>
    <row r="91">
      <c r="A91" s="12" t="inlineStr">
        <is>
          <t>管理费用</t>
        </is>
      </c>
      <c r="B91" s="12" t="inlineStr">
        <is>
          <t>其它</t>
        </is>
      </c>
      <c r="C91" s="12" t="inlineStr">
        <is>
          <t>其它</t>
        </is>
      </c>
      <c r="D91" s="3" t="n">
        <v>0</v>
      </c>
      <c r="E91" s="6">
        <f>IF($C$6=0,0,D91/$C$6)</f>
        <v/>
      </c>
      <c r="F91" s="5">
        <f>D91*(1+$C$7)</f>
        <v/>
      </c>
      <c r="G91" s="13" t="n">
        <v>0</v>
      </c>
      <c r="H91" s="6">
        <f>IF($C$2=0,0,G91/$C$2)</f>
        <v/>
      </c>
      <c r="I91" s="3" t="n">
        <v>0</v>
      </c>
      <c r="J91" s="8">
        <f>G91-I91</f>
        <v/>
      </c>
    </row>
    <row r="92">
      <c r="A92" s="12" t="inlineStr">
        <is>
          <t>财务费用</t>
        </is>
      </c>
      <c r="B92" s="12" t="inlineStr">
        <is>
          <t>利息</t>
        </is>
      </c>
      <c r="C92" s="12" t="inlineStr">
        <is>
          <t>利息</t>
        </is>
      </c>
      <c r="D92" s="3" t="n">
        <v>0</v>
      </c>
      <c r="E92" s="6">
        <f>IF($C$6=0,0,D92/$C$6)</f>
        <v/>
      </c>
      <c r="F92" s="5">
        <f>D92*(1+$C$7)</f>
        <v/>
      </c>
      <c r="G92" s="13" t="n">
        <v>0</v>
      </c>
      <c r="H92" s="6">
        <f>IF($C$2=0,0,G92/$C$2)</f>
        <v/>
      </c>
      <c r="I92" s="3" t="n">
        <v>0</v>
      </c>
      <c r="J92" s="8">
        <f>G92-I92</f>
        <v/>
      </c>
    </row>
    <row r="93">
      <c r="A93" s="12" t="inlineStr">
        <is>
          <t>财务费用</t>
        </is>
      </c>
      <c r="B93" s="12" t="inlineStr">
        <is>
          <t>手续费</t>
        </is>
      </c>
      <c r="C93" s="12" t="inlineStr">
        <is>
          <t>手续费</t>
        </is>
      </c>
      <c r="D93" s="3" t="n">
        <v>0</v>
      </c>
      <c r="E93" s="6">
        <f>IF($C$6=0,0,D93/$C$6)</f>
        <v/>
      </c>
      <c r="F93" s="5">
        <f>D93*(1+$C$7)</f>
        <v/>
      </c>
      <c r="G93" s="13" t="n">
        <v>0</v>
      </c>
      <c r="H93" s="6">
        <f>IF($C$2=0,0,G93/$C$2)</f>
        <v/>
      </c>
      <c r="I93" s="3" t="n">
        <v>0</v>
      </c>
      <c r="J93" s="8">
        <f>G93-I93</f>
        <v/>
      </c>
    </row>
    <row r="94">
      <c r="A94" s="12" t="inlineStr">
        <is>
          <t>财务费用</t>
        </is>
      </c>
      <c r="B94" s="12" t="inlineStr">
        <is>
          <t>金融费用</t>
        </is>
      </c>
      <c r="C94" s="12" t="inlineStr">
        <is>
          <t>金融费用</t>
        </is>
      </c>
      <c r="D94" s="3" t="n">
        <v>0</v>
      </c>
      <c r="E94" s="6">
        <f>IF($C$6=0,0,D94/$C$6)</f>
        <v/>
      </c>
      <c r="F94" s="5">
        <f>D94*(1+$C$7)</f>
        <v/>
      </c>
      <c r="G94" s="13" t="n">
        <v>0</v>
      </c>
      <c r="H94" s="6">
        <f>IF($C$2=0,0,G94/$C$2)</f>
        <v/>
      </c>
      <c r="I94" s="3" t="n">
        <v>0</v>
      </c>
      <c r="J94" s="8">
        <f>G94-I94</f>
        <v/>
      </c>
    </row>
    <row r="95">
      <c r="A95" s="12" t="inlineStr">
        <is>
          <t>财务费用</t>
        </is>
      </c>
      <c r="B95" s="12" t="inlineStr">
        <is>
          <t>保理费</t>
        </is>
      </c>
      <c r="C95" s="12" t="inlineStr">
        <is>
          <t>保理费</t>
        </is>
      </c>
      <c r="D95" s="3" t="n">
        <v>0</v>
      </c>
      <c r="E95" s="6">
        <f>IF($C$6=0,0,D95/$C$6)</f>
        <v/>
      </c>
      <c r="F95" s="5">
        <f>D95*(1+$C$7)</f>
        <v/>
      </c>
      <c r="G95" s="13" t="n">
        <v>0</v>
      </c>
      <c r="H95" s="6">
        <f>IF($C$2=0,0,G95/$C$2)</f>
        <v/>
      </c>
      <c r="I95" s="3" t="n">
        <v>0</v>
      </c>
      <c r="J95" s="8">
        <f>G95-I95</f>
        <v/>
      </c>
    </row>
    <row r="96">
      <c r="A96" s="12" t="inlineStr">
        <is>
          <t>营业外支出</t>
        </is>
      </c>
      <c r="B96" s="12" t="inlineStr">
        <is>
          <t>违约金</t>
        </is>
      </c>
      <c r="C96" s="12" t="inlineStr">
        <is>
          <t>违约金</t>
        </is>
      </c>
      <c r="D96" s="3" t="n">
        <v>0</v>
      </c>
      <c r="E96" s="6">
        <f>IF($C$6=0,0,D96/$C$6)</f>
        <v/>
      </c>
      <c r="F96" s="5">
        <f>D96*(1+$C$7)</f>
        <v/>
      </c>
      <c r="G96" s="13" t="n">
        <v>0</v>
      </c>
      <c r="H96" s="6">
        <f>IF($C$2=0,0,G96/$C$2)</f>
        <v/>
      </c>
      <c r="I96" s="3" t="n">
        <v>0</v>
      </c>
      <c r="J96" s="8">
        <f>G96-I96</f>
        <v/>
      </c>
    </row>
    <row r="97">
      <c r="A97" s="12" t="inlineStr">
        <is>
          <t>营业外支出</t>
        </is>
      </c>
      <c r="B97" s="12" t="inlineStr">
        <is>
          <t>罚款支出</t>
        </is>
      </c>
      <c r="C97" s="12" t="inlineStr">
        <is>
          <t>罚款支出</t>
        </is>
      </c>
      <c r="D97" s="3" t="n">
        <v>0</v>
      </c>
      <c r="E97" s="6">
        <f>IF($C$6=0,0,D97/$C$6)</f>
        <v/>
      </c>
      <c r="F97" s="5">
        <f>D97*(1+$C$7)</f>
        <v/>
      </c>
      <c r="G97" s="13" t="n">
        <v>0</v>
      </c>
      <c r="H97" s="6">
        <f>IF($C$2=0,0,G97/$C$2)</f>
        <v/>
      </c>
      <c r="I97" s="3" t="n">
        <v>0</v>
      </c>
      <c r="J97" s="8">
        <f>G97-I97</f>
        <v/>
      </c>
    </row>
    <row r="98" ht="24" customHeight="1">
      <c r="A98" s="14" t="inlineStr">
        <is>
          <t>合计</t>
        </is>
      </c>
      <c r="B98" s="15" t="n"/>
      <c r="C98" s="15" t="n"/>
      <c r="D98" s="16">
        <f>SUM(D14:D97)</f>
        <v/>
      </c>
      <c r="E98" s="17">
        <f>IF($C$6=0,0,D98/$C$6)</f>
        <v/>
      </c>
      <c r="F98" s="16">
        <f>D98*(1+$C$7)</f>
        <v/>
      </c>
      <c r="G98" s="16">
        <f>SUM(G14:G97)</f>
        <v/>
      </c>
      <c r="H98" s="17">
        <f>IF($C$2=0,0,G98/$C$2)</f>
        <v/>
      </c>
      <c r="I98" s="16">
        <f>SUM(I14:I97)</f>
        <v/>
      </c>
      <c r="J98" s="16">
        <f>SUM(J14:J97)</f>
        <v/>
      </c>
    </row>
    <row r="100">
      <c r="A100" s="18" t="inlineStr">
        <is>
          <t>未分配余额</t>
        </is>
      </c>
      <c r="G100" s="19">
        <f>E7-G98</f>
        <v/>
      </c>
      <c r="H100" s="20" t="inlineStr">
        <is>
          <t>（负数表示预算分配超上限）</t>
        </is>
      </c>
    </row>
  </sheetData>
  <autoFilter ref="A13:J98"/>
  <mergeCells count="6">
    <mergeCell ref="A98:C98"/>
    <mergeCell ref="A1:J1"/>
    <mergeCell ref="A12:J12"/>
    <mergeCell ref="A100:F100"/>
    <mergeCell ref="H100:J100"/>
    <mergeCell ref="A11:J11"/>
  </mergeCells>
  <conditionalFormatting sqref="J14:J97">
    <cfRule type="cellIs" priority="1" operator="lessThan" dxfId="0">
      <formula>0</formula>
    </cfRule>
  </conditionalFormatting>
  <dataValidations count="1">
    <dataValidation sqref="E4" showDropDown="0" showInputMessage="1" showErrorMessage="1" allowBlank="0" errorTitle="税率非法" error="E4 所得税率必须为 0.05 / 0.15 / 0.25 之一（5%/15%/25%）；项目默认值待核验。" promptTitle="E4 所得税率" prompt="请选择 0.05（小型微利）/ 0.15（高新技术企业）/ 0.25（标准税率）" type="list">
      <formula1>"0.05,0.15,0.25"</formula1>
    </dataValidation>
  </dataValidations>
  <printOptions horizontalCentered="1"/>
  <pageMargins left="0.5905511811023622" right="0.5905511811023622" top="0.5905511811023622" bottom="0.5905511811023622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12" customWidth="1" min="4" max="4"/>
    <col width="14" customWidth="1" min="5" max="5"/>
    <col width="12" customWidth="1" min="6" max="6"/>
  </cols>
  <sheetData>
    <row r="1">
      <c r="A1" s="21" t="inlineStr">
        <is>
          <t>行业企业所得税贡献率参考表</t>
        </is>
      </c>
    </row>
    <row r="2" ht="28" customHeight="1">
      <c r="A2" s="11" t="inlineStr">
        <is>
          <t>行业</t>
        </is>
      </c>
      <c r="B2" s="11" t="inlineStr">
        <is>
          <t>企业所得税贡献率</t>
        </is>
      </c>
      <c r="C2" s="11" t="inlineStr">
        <is>
          <t>来源</t>
        </is>
      </c>
      <c r="D2" s="11" t="inlineStr">
        <is>
          <t>适用年度</t>
        </is>
      </c>
      <c r="E2" s="11" t="inlineStr">
        <is>
          <t>适用地区</t>
        </is>
      </c>
      <c r="F2" s="11" t="inlineStr">
        <is>
          <t>是否已核验</t>
        </is>
      </c>
    </row>
    <row r="3">
      <c r="A3" s="22" t="inlineStr">
        <is>
          <t>（暂无行业基准数据；用户可维护）</t>
        </is>
      </c>
    </row>
    <row r="5" ht="32" customHeight="1">
      <c r="A5" s="23" t="inlineStr">
        <is>
          <t>提示：行业贡献率须标注来源与适用年度；无来源数据应标『模板默认（待核验）』，不得包装为官方数据。本工具不提供虚构的行业基准。</t>
        </is>
      </c>
    </row>
  </sheetData>
  <mergeCells count="3">
    <mergeCell ref="A3:F3"/>
    <mergeCell ref="A1:F1"/>
    <mergeCell ref="A5:F5"/>
  </mergeCells>
  <printOptions horizontalCentered="1"/>
  <pageMargins left="0.5905511811023622" right="0.5905511811023622" top="0.5905511811023622" bottom="0.5905511811023622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26" customHeight="1">
      <c r="A1" s="21" t="inlineStr">
        <is>
          <t>诊断与行动清单</t>
        </is>
      </c>
    </row>
    <row r="2" ht="28" customHeight="1">
      <c r="A2" s="11" t="inlineStr">
        <is>
          <t>序号</t>
        </is>
      </c>
      <c r="B2" s="11" t="inlineStr">
        <is>
          <t>发现</t>
        </is>
      </c>
      <c r="C2" s="11" t="inlineStr">
        <is>
          <t>选项</t>
        </is>
      </c>
      <c r="D2" s="11" t="inlineStr">
        <is>
          <t>目标值</t>
        </is>
      </c>
      <c r="E2" s="11" t="inlineStr">
        <is>
          <t>成本节约(元)</t>
        </is>
      </c>
      <c r="F2" s="11" t="inlineStr">
        <is>
          <t>税收节约(元)</t>
        </is>
      </c>
      <c r="G2" s="11" t="inlineStr">
        <is>
          <t>税负影响(元)</t>
        </is>
      </c>
      <c r="H2" s="11" t="inlineStr">
        <is>
          <t>净影响(元)</t>
        </is>
      </c>
      <c r="I2" s="11" t="inlineStr">
        <is>
          <t>负责人</t>
        </is>
      </c>
      <c r="J2" s="11" t="inlineStr">
        <is>
          <t>期限</t>
        </is>
      </c>
    </row>
    <row r="3">
      <c r="A3" s="24" t="n">
        <v>1</v>
      </c>
      <c r="B3" s="25" t="inlineStr">
        <is>
          <t>研发费用缺失（该有没的）</t>
        </is>
      </c>
      <c r="C3" s="25" t="inlineStr">
        <is>
          <t>立即启动研发费用归集与加计扣除</t>
        </is>
      </c>
      <c r="D3" s="25" t="inlineStr">
        <is>
          <t>760000.0</t>
        </is>
      </c>
      <c r="E3" s="26" t="n">
        <v>0</v>
      </c>
      <c r="F3" s="26" t="n">
        <v>190000</v>
      </c>
      <c r="G3" s="26" t="n">
        <v>0</v>
      </c>
      <c r="H3" s="26" t="n">
        <v>190000</v>
      </c>
      <c r="I3" s="24" t="inlineStr"/>
      <c r="J3" s="24" t="inlineStr"/>
    </row>
    <row r="4">
      <c r="A4" s="24" t="n">
        <v>2</v>
      </c>
      <c r="B4" s="25" t="inlineStr">
        <is>
          <t>业务招待费超限（可有可没有/应控）</t>
        </is>
      </c>
      <c r="C4" s="25" t="inlineStr">
        <is>
          <t>压缩招待费至扣除限额内</t>
        </is>
      </c>
      <c r="D4" s="25" t="inlineStr">
        <is>
          <t>126666.66666666667</t>
        </is>
      </c>
      <c r="E4" s="26" t="n">
        <v>133333.33</v>
      </c>
      <c r="F4" s="26" t="n">
        <v>0</v>
      </c>
      <c r="G4" s="26" t="n">
        <v>0</v>
      </c>
      <c r="H4" s="26" t="n">
        <v>133333.33</v>
      </c>
      <c r="I4" s="24" t="inlineStr"/>
      <c r="J4" s="24" t="inlineStr"/>
    </row>
    <row r="5">
      <c r="A5" s="24" t="n">
        <v>3</v>
      </c>
      <c r="B5" s="25" t="inlineStr">
        <is>
          <t>咨询服务费偏高（真实性风险）</t>
        </is>
      </c>
      <c r="C5" s="25" t="inlineStr">
        <is>
          <t>大幅压降咨询服务费并内化能力</t>
        </is>
      </c>
      <c r="D5" s="25" t="inlineStr">
        <is>
          <t>152000.0</t>
        </is>
      </c>
      <c r="E5" s="26" t="n">
        <v>828000</v>
      </c>
      <c r="F5" s="26" t="n">
        <v>0</v>
      </c>
      <c r="G5" s="26" t="n">
        <v>207000</v>
      </c>
      <c r="H5" s="26" t="n">
        <v>621000</v>
      </c>
      <c r="I5" s="24" t="inlineStr"/>
      <c r="J5" s="24" t="inlineStr"/>
    </row>
    <row r="6">
      <c r="A6" s="24" t="n">
        <v>4</v>
      </c>
      <c r="B6" s="25" t="inlineStr">
        <is>
          <t>增值税税负率偏低（真实性风险）</t>
        </is>
      </c>
      <c r="C6" s="25" t="inlineStr">
        <is>
          <t>提升进项税管理至行业下限+0.5pp</t>
        </is>
      </c>
      <c r="D6" s="25" t="inlineStr">
        <is>
          <t>2.5</t>
        </is>
      </c>
      <c r="E6" s="26" t="n">
        <v>0</v>
      </c>
      <c r="F6" s="26" t="n">
        <v>0</v>
      </c>
      <c r="G6" s="26" t="n">
        <v>0</v>
      </c>
      <c r="H6" s="26" t="n">
        <v>0</v>
      </c>
      <c r="I6" s="24" t="inlineStr"/>
      <c r="J6" s="24" t="inlineStr"/>
    </row>
    <row r="7">
      <c r="A7" s="27" t="inlineStr">
        <is>
          <t>合计</t>
        </is>
      </c>
      <c r="E7" s="16">
        <f>SUM(E3:E6)</f>
        <v/>
      </c>
      <c r="F7" s="16">
        <f>SUM(F3:F6)</f>
        <v/>
      </c>
      <c r="G7" s="16">
        <f>SUM(G3:G6)</f>
        <v/>
      </c>
      <c r="H7" s="16">
        <f>SUM(H3:H6)</f>
        <v/>
      </c>
    </row>
    <row r="9">
      <c r="A9" s="23" t="inlineStr">
        <is>
          <t>共 4 条诊断行动建议；负责人与期限由企业填写。</t>
        </is>
      </c>
    </row>
  </sheetData>
  <mergeCells count="3">
    <mergeCell ref="A1:J1"/>
    <mergeCell ref="A9:J9"/>
    <mergeCell ref="A7:D7"/>
  </mergeCells>
  <printOptions horizontalCentered="1"/>
  <pageMargins left="0.5905511811023622" right="0.5905511811023622" top="0.5905511811023622" bottom="0.5905511811023622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2026-07-26T14:28:23Z</dcterms:created>
  <dcterms:modified xmlns:dcterms="http://purl.org/dc/terms/" xmlns:xsi="http://www.w3.org/2001/XMLSchema-instance" xsi:type="dcterms:W3CDTF">2026-07-26T14:28:23Z</dcterms:modified>
</cp:coreProperties>
</file>